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480" yWindow="300" windowWidth="18495" windowHeight="11700" tabRatio="939" activeTab="4"/>
  </bookViews>
  <sheets>
    <sheet name="Summary" sheetId="1" r:id="rId1"/>
    <sheet name="Template" sheetId="13" state="hidden" r:id="rId2"/>
    <sheet name="_ComptAnnee" sheetId="24" r:id="rId3"/>
    <sheet name="_ComptCompte" sheetId="25" r:id="rId4"/>
    <sheet name="_ComptFraisFixe" sheetId="26" r:id="rId5"/>
    <sheet name="_ComptMouvement" sheetId="27" r:id="rId6"/>
    <sheet name="_ComptPeriode" sheetId="28" r:id="rId7"/>
    <sheet name="_ComptSolde" sheetId="29" r:id="rId8"/>
    <sheet name="SQL Definition" sheetId="7" r:id="rId9"/>
    <sheet name="SQL Tables Name" sheetId="8" state="hidden" r:id="rId10"/>
    <sheet name="SQL Queries" sheetId="11" r:id="rId11"/>
    <sheet name="SQL Create" sheetId="22" r:id="rId12"/>
    <sheet name="Data" sheetId="23" state="hidden" r:id="rId13"/>
  </sheets>
  <functionGroups/>
  <definedNames>
    <definedName name="List_SqlFieldTypes" localSheetId="2">Sql_Field_Type[Field Type]</definedName>
    <definedName name="List_SqlFieldTypes" localSheetId="3">Sql_Field_Type[Field Type]</definedName>
    <definedName name="List_SqlFieldTypes" localSheetId="4">Sql_Field_Type[Field Type]</definedName>
    <definedName name="List_SqlFieldTypes" localSheetId="5">Sql_Field_Type[Field Type]</definedName>
    <definedName name="List_SqlFieldTypes" localSheetId="6">Sql_Field_Type[Field Type]</definedName>
    <definedName name="List_SqlFieldTypes" localSheetId="7">Sql_Field_Type[Field Type]</definedName>
    <definedName name="List_SqlFieldTypes">Sql_Field_Type[Field Type]</definedName>
    <definedName name="List_SqlTables" localSheetId="2">Sql_Table_Name[Table Name]</definedName>
    <definedName name="List_SqlTables" localSheetId="3">Sql_Table_Name[Table Name]</definedName>
    <definedName name="List_SqlTables" localSheetId="4">Sql_Table_Name[Table Name]</definedName>
    <definedName name="List_SqlTables" localSheetId="5">Sql_Table_Name[Table Name]</definedName>
    <definedName name="List_SqlTables" localSheetId="6">Sql_Table_Name[Table Name]</definedName>
    <definedName name="List_SqlTables" localSheetId="7">Sql_Table_Name[Table Name]</definedName>
    <definedName name="List_SqlTables">Sql_Table_Name[Table Name]</definedName>
  </definedNames>
  <calcPr calcId="124519" calcMode="manual"/>
</workbook>
</file>

<file path=xl/calcChain.xml><?xml version="1.0" encoding="utf-8"?>
<calcChain xmlns="http://schemas.openxmlformats.org/spreadsheetml/2006/main">
  <c r="A8" i="7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7"/>
  <c r="A6"/>
  <c r="A5"/>
  <c r="A4"/>
  <c r="A3"/>
  <c r="B2" i="29" s="1" a="1"/>
  <c r="M2" s="1"/>
  <c r="A2" i="7"/>
  <c r="B1" i="11" a="1"/>
  <c r="B1" s="1"/>
  <c r="C1"/>
  <c r="E1"/>
  <c r="G1"/>
  <c r="I1"/>
  <c r="K1"/>
  <c r="B3" i="29" a="1"/>
  <c r="L3" s="1"/>
  <c r="B3" i="28" a="1"/>
  <c r="L3" s="1"/>
  <c r="B3" i="27" a="1"/>
  <c r="L3" s="1"/>
  <c r="B3" i="26" a="1"/>
  <c r="L3" s="1"/>
  <c r="B3" i="25" a="1"/>
  <c r="L3" s="1"/>
  <c r="B3" i="24" a="1"/>
  <c r="L3" s="1"/>
  <c r="B2" l="1" a="1"/>
  <c r="M2" s="1"/>
  <c r="B2" i="25" a="1"/>
  <c r="M2" s="1"/>
  <c r="B2" i="26" a="1"/>
  <c r="M2" s="1"/>
  <c r="B2" i="27" a="1"/>
  <c r="M2" s="1"/>
  <c r="B2" i="28" a="1"/>
  <c r="M2" s="1"/>
  <c r="F2" i="29"/>
  <c r="B2" i="27"/>
  <c r="B2" i="29"/>
  <c r="J2"/>
  <c r="B2" i="25"/>
  <c r="F2"/>
  <c r="J2"/>
  <c r="D2"/>
  <c r="H2"/>
  <c r="L2"/>
  <c r="D2" i="27"/>
  <c r="D2" i="29"/>
  <c r="H2"/>
  <c r="L2"/>
  <c r="C3" i="24"/>
  <c r="E3"/>
  <c r="G3"/>
  <c r="I3"/>
  <c r="K3"/>
  <c r="M3"/>
  <c r="C3" i="25"/>
  <c r="E3"/>
  <c r="G3"/>
  <c r="I3"/>
  <c r="K3"/>
  <c r="M3"/>
  <c r="C3" i="26"/>
  <c r="E3"/>
  <c r="G3"/>
  <c r="I3"/>
  <c r="K3"/>
  <c r="M3"/>
  <c r="F2" i="27"/>
  <c r="H2"/>
  <c r="J2"/>
  <c r="L2"/>
  <c r="C3"/>
  <c r="E3"/>
  <c r="G3"/>
  <c r="I3"/>
  <c r="K3"/>
  <c r="M3"/>
  <c r="C3" i="28"/>
  <c r="E3"/>
  <c r="G3"/>
  <c r="I3"/>
  <c r="K3"/>
  <c r="M3"/>
  <c r="C3" i="29"/>
  <c r="E3"/>
  <c r="G3"/>
  <c r="I3"/>
  <c r="K3"/>
  <c r="M3"/>
  <c r="I2" i="24"/>
  <c r="B3"/>
  <c r="D3"/>
  <c r="F3"/>
  <c r="H3"/>
  <c r="J3"/>
  <c r="C2" i="25"/>
  <c r="E2"/>
  <c r="G2"/>
  <c r="I2"/>
  <c r="K2"/>
  <c r="B3"/>
  <c r="D3"/>
  <c r="F3"/>
  <c r="H3"/>
  <c r="J3"/>
  <c r="B3" i="26"/>
  <c r="D3"/>
  <c r="F3"/>
  <c r="H3"/>
  <c r="J3"/>
  <c r="C2" i="27"/>
  <c r="E2"/>
  <c r="G2"/>
  <c r="I2"/>
  <c r="K2"/>
  <c r="B3"/>
  <c r="D3"/>
  <c r="F3"/>
  <c r="H3"/>
  <c r="J3"/>
  <c r="B3" i="28"/>
  <c r="D3"/>
  <c r="F3"/>
  <c r="H3"/>
  <c r="J3"/>
  <c r="C2" i="29"/>
  <c r="E2"/>
  <c r="G2"/>
  <c r="I2"/>
  <c r="K2"/>
  <c r="B3"/>
  <c r="D3"/>
  <c r="F3"/>
  <c r="H3"/>
  <c r="J3"/>
  <c r="L1" i="11"/>
  <c r="J1"/>
  <c r="H1"/>
  <c r="F1"/>
  <c r="D1"/>
  <c r="E2" i="26" l="1"/>
  <c r="I2" i="28"/>
  <c r="F2"/>
  <c r="F2" i="26"/>
  <c r="J2" i="28"/>
  <c r="E2"/>
  <c r="I2" i="26"/>
  <c r="E2" i="24"/>
  <c r="H2" i="28"/>
  <c r="H2" i="26"/>
  <c r="H2" i="24"/>
  <c r="F2"/>
  <c r="B2" i="26"/>
  <c r="K2" i="28"/>
  <c r="G2"/>
  <c r="C2"/>
  <c r="K2" i="26"/>
  <c r="G2"/>
  <c r="C2"/>
  <c r="K2" i="24"/>
  <c r="G2"/>
  <c r="C2"/>
  <c r="L2" i="28"/>
  <c r="D2"/>
  <c r="L2" i="26"/>
  <c r="D2"/>
  <c r="L2" i="24"/>
  <c r="D2"/>
  <c r="J2"/>
  <c r="B2"/>
  <c r="J2" i="26"/>
  <c r="B2" i="28"/>
  <c r="B2" i="11" a="1"/>
  <c r="E2"/>
  <c r="H2"/>
  <c r="G2"/>
  <c r="L2"/>
  <c r="I2"/>
  <c r="K2"/>
  <c r="J2"/>
  <c r="F2"/>
  <c r="B3" i="13" l="1" a="1"/>
  <c r="B2" a="1"/>
  <c r="C2" i="11"/>
  <c r="B2"/>
  <c r="D2"/>
  <c r="K3" i="13" l="1"/>
  <c r="F3"/>
  <c r="L3"/>
  <c r="B3"/>
  <c r="J3"/>
  <c r="E3"/>
  <c r="C3"/>
  <c r="I3"/>
  <c r="D3"/>
  <c r="G3"/>
  <c r="M3"/>
  <c r="H3"/>
  <c r="M2"/>
  <c r="H2"/>
  <c r="C2"/>
  <c r="B2"/>
  <c r="L2"/>
  <c r="G2"/>
  <c r="E2"/>
  <c r="K2"/>
  <c r="F2"/>
  <c r="I2"/>
  <c r="D2"/>
  <c r="J2"/>
</calcChain>
</file>

<file path=xl/sharedStrings.xml><?xml version="1.0" encoding="utf-8"?>
<sst xmlns="http://schemas.openxmlformats.org/spreadsheetml/2006/main" count="477" uniqueCount="356">
  <si>
    <t>Table Name</t>
  </si>
  <si>
    <t>Field Name</t>
  </si>
  <si>
    <t>Field Type</t>
  </si>
  <si>
    <t>Field Length</t>
  </si>
  <si>
    <t>Field Count</t>
  </si>
  <si>
    <t>Field</t>
  </si>
  <si>
    <t>SearchKey</t>
  </si>
  <si>
    <t>Table</t>
  </si>
  <si>
    <t>Table Definition</t>
  </si>
  <si>
    <t>Max Length</t>
  </si>
  <si>
    <t>Field Name and Field Length</t>
  </si>
  <si>
    <t>Text</t>
  </si>
  <si>
    <t>Value is too long. Value length should be less than Field Length</t>
  </si>
  <si>
    <t>Field not defined, value should not be defined</t>
  </si>
  <si>
    <t>Tables</t>
  </si>
  <si>
    <t>Number of Items</t>
  </si>
  <si>
    <t>Query #1</t>
  </si>
  <si>
    <t>Query #2</t>
  </si>
  <si>
    <t>Query #3</t>
  </si>
  <si>
    <t>Query #4</t>
  </si>
  <si>
    <t>Query #5</t>
  </si>
  <si>
    <t>Query #6</t>
  </si>
  <si>
    <t>Query #7</t>
  </si>
  <si>
    <t>Query #8</t>
  </si>
  <si>
    <t>Query #9</t>
  </si>
  <si>
    <t>Query #10</t>
  </si>
  <si>
    <t>Query #11</t>
  </si>
  <si>
    <t>Query #12</t>
  </si>
  <si>
    <t>Query #13</t>
  </si>
  <si>
    <t>Query #14</t>
  </si>
  <si>
    <t>Query #15</t>
  </si>
  <si>
    <t>Query #16</t>
  </si>
  <si>
    <t>Query #17</t>
  </si>
  <si>
    <t>Query #18</t>
  </si>
  <si>
    <t>Query #19</t>
  </si>
  <si>
    <t>Query #20</t>
  </si>
  <si>
    <t>Query #21</t>
  </si>
  <si>
    <t>Query #22</t>
  </si>
  <si>
    <t>Query #23</t>
  </si>
  <si>
    <t>Query #24</t>
  </si>
  <si>
    <t>Query #25</t>
  </si>
  <si>
    <t>Query #26</t>
  </si>
  <si>
    <t>Query #27</t>
  </si>
  <si>
    <t>Query #28</t>
  </si>
  <si>
    <t>Query #29</t>
  </si>
  <si>
    <t>Query #30</t>
  </si>
  <si>
    <t>Query #31</t>
  </si>
  <si>
    <t>Query #32</t>
  </si>
  <si>
    <t>Query #33</t>
  </si>
  <si>
    <t>Query #34</t>
  </si>
  <si>
    <t>Query #35</t>
  </si>
  <si>
    <t>Query #36</t>
  </si>
  <si>
    <t>Query #37</t>
  </si>
  <si>
    <t>Query #38</t>
  </si>
  <si>
    <t>Query #39</t>
  </si>
  <si>
    <t>Query #40</t>
  </si>
  <si>
    <t>Query #41</t>
  </si>
  <si>
    <t>Query #42</t>
  </si>
  <si>
    <t>Query #43</t>
  </si>
  <si>
    <t>Query #44</t>
  </si>
  <si>
    <t>Query #45</t>
  </si>
  <si>
    <t>Query #46</t>
  </si>
  <si>
    <t>Query #47</t>
  </si>
  <si>
    <t>Query #48</t>
  </si>
  <si>
    <t>Query #49</t>
  </si>
  <si>
    <t>Query #50</t>
  </si>
  <si>
    <t>Query #51</t>
  </si>
  <si>
    <t>Query #52</t>
  </si>
  <si>
    <t>Query #53</t>
  </si>
  <si>
    <t>Query #54</t>
  </si>
  <si>
    <t>Query #55</t>
  </si>
  <si>
    <t>Query #56</t>
  </si>
  <si>
    <t>Query #57</t>
  </si>
  <si>
    <t>Query #58</t>
  </si>
  <si>
    <t>Query #59</t>
  </si>
  <si>
    <t>Query #60</t>
  </si>
  <si>
    <t>Query #61</t>
  </si>
  <si>
    <t>Query #62</t>
  </si>
  <si>
    <t>Query #63</t>
  </si>
  <si>
    <t>Query #64</t>
  </si>
  <si>
    <t>Query #65</t>
  </si>
  <si>
    <t>Query #66</t>
  </si>
  <si>
    <t>Query #67</t>
  </si>
  <si>
    <t>Query #68</t>
  </si>
  <si>
    <t>Query #69</t>
  </si>
  <si>
    <t>Query #70</t>
  </si>
  <si>
    <t>Query #71</t>
  </si>
  <si>
    <t>Query #72</t>
  </si>
  <si>
    <t>Query #73</t>
  </si>
  <si>
    <t>Query #74</t>
  </si>
  <si>
    <t>Query #75</t>
  </si>
  <si>
    <t>Query #76</t>
  </si>
  <si>
    <t>Query #77</t>
  </si>
  <si>
    <t>Query #78</t>
  </si>
  <si>
    <t>Query #79</t>
  </si>
  <si>
    <t>Query #80</t>
  </si>
  <si>
    <t>Query #81</t>
  </si>
  <si>
    <t>Query #82</t>
  </si>
  <si>
    <t>Query #83</t>
  </si>
  <si>
    <t>Query #84</t>
  </si>
  <si>
    <t>Query #85</t>
  </si>
  <si>
    <t>Query #86</t>
  </si>
  <si>
    <t>Query #87</t>
  </si>
  <si>
    <t>Query #88</t>
  </si>
  <si>
    <t>Query #89</t>
  </si>
  <si>
    <t>Query #90</t>
  </si>
  <si>
    <t>Query #91</t>
  </si>
  <si>
    <t>Query #92</t>
  </si>
  <si>
    <t>Query #93</t>
  </si>
  <si>
    <t>Query #94</t>
  </si>
  <si>
    <t>Query #95</t>
  </si>
  <si>
    <t>Query #96</t>
  </si>
  <si>
    <t>Query #97</t>
  </si>
  <si>
    <t>Query #98</t>
  </si>
  <si>
    <t>Query #99</t>
  </si>
  <si>
    <t>Query #100</t>
  </si>
  <si>
    <t>Query #101</t>
  </si>
  <si>
    <t>Query #102</t>
  </si>
  <si>
    <t>Query #103</t>
  </si>
  <si>
    <t>Query #104</t>
  </si>
  <si>
    <t>Query #105</t>
  </si>
  <si>
    <t>Query #106</t>
  </si>
  <si>
    <t>Query #107</t>
  </si>
  <si>
    <t>Query #108</t>
  </si>
  <si>
    <t>Query #109</t>
  </si>
  <si>
    <t>Query #110</t>
  </si>
  <si>
    <t>Query #111</t>
  </si>
  <si>
    <t>Query #112</t>
  </si>
  <si>
    <t>Query #113</t>
  </si>
  <si>
    <t>Query #114</t>
  </si>
  <si>
    <t>Query #115</t>
  </si>
  <si>
    <t>Query #116</t>
  </si>
  <si>
    <t>Query #117</t>
  </si>
  <si>
    <t>Query #118</t>
  </si>
  <si>
    <t>Query #119</t>
  </si>
  <si>
    <t>Query #120</t>
  </si>
  <si>
    <t>Database:</t>
  </si>
  <si>
    <t>Row #1</t>
  </si>
  <si>
    <t>Row #2</t>
  </si>
  <si>
    <t>Row #3</t>
  </si>
  <si>
    <t>Row #4</t>
  </si>
  <si>
    <t>Row #5</t>
  </si>
  <si>
    <t>Row #6</t>
  </si>
  <si>
    <t>Row #7</t>
  </si>
  <si>
    <t>Row #8</t>
  </si>
  <si>
    <t>Row #9</t>
  </si>
  <si>
    <t>Row #10</t>
  </si>
  <si>
    <t>Row #11</t>
  </si>
  <si>
    <t>Row #12</t>
  </si>
  <si>
    <t>Row #13</t>
  </si>
  <si>
    <t>Row #14</t>
  </si>
  <si>
    <t>Row #15</t>
  </si>
  <si>
    <t>Row #16</t>
  </si>
  <si>
    <t>Row #17</t>
  </si>
  <si>
    <t>Row #18</t>
  </si>
  <si>
    <t>Row #19</t>
  </si>
  <si>
    <t>Row #20</t>
  </si>
  <si>
    <t>Row #21</t>
  </si>
  <si>
    <t>Row #22</t>
  </si>
  <si>
    <t>Row #23</t>
  </si>
  <si>
    <t>Row #24</t>
  </si>
  <si>
    <t>Row #25</t>
  </si>
  <si>
    <t>Row #26</t>
  </si>
  <si>
    <t>Row #27</t>
  </si>
  <si>
    <t>Row #28</t>
  </si>
  <si>
    <t>Row #29</t>
  </si>
  <si>
    <t>Row #30</t>
  </si>
  <si>
    <t>Row #31</t>
  </si>
  <si>
    <t>Row #32</t>
  </si>
  <si>
    <t>Row #33</t>
  </si>
  <si>
    <t>Row #34</t>
  </si>
  <si>
    <t>Row #35</t>
  </si>
  <si>
    <t>Row #36</t>
  </si>
  <si>
    <t>Row #37</t>
  </si>
  <si>
    <t>Row #38</t>
  </si>
  <si>
    <t>Row #39</t>
  </si>
  <si>
    <t>Row #40</t>
  </si>
  <si>
    <t>Row #41</t>
  </si>
  <si>
    <t>Row #42</t>
  </si>
  <si>
    <t>Row #43</t>
  </si>
  <si>
    <t>Row #44</t>
  </si>
  <si>
    <t>Row #45</t>
  </si>
  <si>
    <t>Row #46</t>
  </si>
  <si>
    <t>Row #47</t>
  </si>
  <si>
    <t>Row #48</t>
  </si>
  <si>
    <t>Row #49</t>
  </si>
  <si>
    <t>Row #50</t>
  </si>
  <si>
    <t>Row #51</t>
  </si>
  <si>
    <t>Row #52</t>
  </si>
  <si>
    <t>Row #53</t>
  </si>
  <si>
    <t>Row #54</t>
  </si>
  <si>
    <t>Row #55</t>
  </si>
  <si>
    <t>Row #56</t>
  </si>
  <si>
    <t>Row #57</t>
  </si>
  <si>
    <t>Row #58</t>
  </si>
  <si>
    <t>Row #59</t>
  </si>
  <si>
    <t>Row #60</t>
  </si>
  <si>
    <t>Row #61</t>
  </si>
  <si>
    <t>Row #62</t>
  </si>
  <si>
    <t>Row #63</t>
  </si>
  <si>
    <t>Row #64</t>
  </si>
  <si>
    <t>Row #65</t>
  </si>
  <si>
    <t>Row #66</t>
  </si>
  <si>
    <t>Row #67</t>
  </si>
  <si>
    <t>Row #68</t>
  </si>
  <si>
    <t>Row #69</t>
  </si>
  <si>
    <t>Row #70</t>
  </si>
  <si>
    <t>Row #71</t>
  </si>
  <si>
    <t>Row #72</t>
  </si>
  <si>
    <t>Row #73</t>
  </si>
  <si>
    <t>Row #74</t>
  </si>
  <si>
    <t>Row #75</t>
  </si>
  <si>
    <t>Row #76</t>
  </si>
  <si>
    <t>Row #77</t>
  </si>
  <si>
    <t>Row #78</t>
  </si>
  <si>
    <t>Row #79</t>
  </si>
  <si>
    <t>Row #80</t>
  </si>
  <si>
    <t>Row #81</t>
  </si>
  <si>
    <t>Row #82</t>
  </si>
  <si>
    <t>Row #83</t>
  </si>
  <si>
    <t>Row #84</t>
  </si>
  <si>
    <t>Row #85</t>
  </si>
  <si>
    <t>Row #86</t>
  </si>
  <si>
    <t>Row #87</t>
  </si>
  <si>
    <t>Row #88</t>
  </si>
  <si>
    <t>Row #89</t>
  </si>
  <si>
    <t>Row #90</t>
  </si>
  <si>
    <t>Row #91</t>
  </si>
  <si>
    <t>Row #92</t>
  </si>
  <si>
    <t>Row #93</t>
  </si>
  <si>
    <t>Row #94</t>
  </si>
  <si>
    <t>Row #95</t>
  </si>
  <si>
    <t>Row #96</t>
  </si>
  <si>
    <t>Row #97</t>
  </si>
  <si>
    <t>Row #98</t>
  </si>
  <si>
    <t>Row #99</t>
  </si>
  <si>
    <t>Row #100</t>
  </si>
  <si>
    <t>Row #101</t>
  </si>
  <si>
    <t>Row #102</t>
  </si>
  <si>
    <t>Row #103</t>
  </si>
  <si>
    <t>Row #104</t>
  </si>
  <si>
    <t>Row #105</t>
  </si>
  <si>
    <t>Row #106</t>
  </si>
  <si>
    <t>Row #107</t>
  </si>
  <si>
    <t>Row #108</t>
  </si>
  <si>
    <t>Row #109</t>
  </si>
  <si>
    <t>Row #110</t>
  </si>
  <si>
    <t>Row #111</t>
  </si>
  <si>
    <t>Row #112</t>
  </si>
  <si>
    <t>Row #113</t>
  </si>
  <si>
    <t>Row #114</t>
  </si>
  <si>
    <t>Row #115</t>
  </si>
  <si>
    <t>Row #116</t>
  </si>
  <si>
    <t>Row #117</t>
  </si>
  <si>
    <t>Row #118</t>
  </si>
  <si>
    <t>Row #119</t>
  </si>
  <si>
    <t>Row #120</t>
  </si>
  <si>
    <t>Primary Key</t>
  </si>
  <si>
    <t>VARCHAR</t>
  </si>
  <si>
    <t>TIMESTAMP</t>
  </si>
  <si>
    <t>TINYINT</t>
  </si>
  <si>
    <t>SMALLINT</t>
  </si>
  <si>
    <t>DATE</t>
  </si>
  <si>
    <t>BOOLEAN</t>
  </si>
  <si>
    <t>DECIMAL</t>
  </si>
  <si>
    <t>Format</t>
  </si>
  <si>
    <t>VARCHAR(100)</t>
  </si>
  <si>
    <t>DECIMAL(10,2)</t>
  </si>
  <si>
    <t>Field Length 2</t>
  </si>
  <si>
    <t>Parameters</t>
  </si>
  <si>
    <t>Add / Remove tables</t>
  </si>
  <si>
    <t>Generate SQL queries</t>
  </si>
  <si>
    <t>Clear queries</t>
  </si>
  <si>
    <t>INTEGER</t>
  </si>
  <si>
    <t>MEDIUMINT</t>
  </si>
  <si>
    <t>INT</t>
  </si>
  <si>
    <t>Default Length</t>
  </si>
  <si>
    <t>Comment</t>
  </si>
  <si>
    <t>=TINYINT(1)</t>
  </si>
  <si>
    <t>From -128 to 127</t>
  </si>
  <si>
    <t>From -32768 to 32767</t>
  </si>
  <si>
    <t>From -8388608 to 8388607</t>
  </si>
  <si>
    <t>From -2147483648 to 2147483647</t>
  </si>
  <si>
    <t>=INT</t>
  </si>
  <si>
    <t>quid des décimaux?</t>
  </si>
  <si>
    <t>_ComptAnnee</t>
  </si>
  <si>
    <t>_ComptCompte</t>
  </si>
  <si>
    <t>_ComptFraisFixe</t>
  </si>
  <si>
    <t>_ComptMouvement</t>
  </si>
  <si>
    <t>_ComptPeriode</t>
  </si>
  <si>
    <t>_ComptSolde</t>
  </si>
  <si>
    <t>ID_ComptAnnee</t>
  </si>
  <si>
    <t>Int_ComptAnnee%Name</t>
  </si>
  <si>
    <t>ID_ComptCompte</t>
  </si>
  <si>
    <t>Txt_ComptCompte%Name</t>
  </si>
  <si>
    <t>Txt_Devise</t>
  </si>
  <si>
    <t>Dble_TauxConversion</t>
  </si>
  <si>
    <t>ID_ComptFraisFixe</t>
  </si>
  <si>
    <t>Id_ComptCompte</t>
  </si>
  <si>
    <t>Txt_Escroc</t>
  </si>
  <si>
    <t>Txt_Comment</t>
  </si>
  <si>
    <t>Dble_Revenu</t>
  </si>
  <si>
    <t>Dble_Depense</t>
  </si>
  <si>
    <t>ID_ComptMouvement</t>
  </si>
  <si>
    <t>Id_ComptAnnee</t>
  </si>
  <si>
    <t>Id_ComptPeriode</t>
  </si>
  <si>
    <t>DT_Date</t>
  </si>
  <si>
    <t>Bool_Debite</t>
  </si>
  <si>
    <t>ID_ComptPeriode</t>
  </si>
  <si>
    <t>Txt_ComptPeriode%Name</t>
  </si>
  <si>
    <t>ID_ComptSolde</t>
  </si>
  <si>
    <t>Dble_Value</t>
  </si>
  <si>
    <t>UpDT_Last%Update</t>
  </si>
  <si>
    <t>DEFAULT CURRENT_TIMESTAMP ON UPDATE CURRENT_TIMESTAMP</t>
  </si>
  <si>
    <t>X</t>
  </si>
  <si>
    <t>UNSIGNED NOT NULL AUTO_INCREMENT</t>
  </si>
  <si>
    <t>UNSIGNED NOT NULL</t>
  </si>
  <si>
    <t>CHARACTER SET utf8 COLLATE utf8_bin NOT NULL</t>
  </si>
  <si>
    <t>CHARACTER SET utf8 COLLATE utf8_bin</t>
  </si>
  <si>
    <t>xsylumfr_main</t>
  </si>
  <si>
    <t>CREATE TABLE IF NOT EXISTS `xsylumfr_main`.`_ComptAnnee` (</t>
  </si>
  <si>
    <t xml:space="preserve">`ID_ComptAnnee` TINYINT UNSIGNED NOT NULL AUTO_INCREMENT, </t>
  </si>
  <si>
    <t xml:space="preserve">PRIMARY KEY (ID_ComptAnnee), </t>
  </si>
  <si>
    <t>`Int_ComptAnnee%Name` SMALLINT UNSIGNED NOT NULL);</t>
  </si>
  <si>
    <t>CREATE TABLE IF NOT EXISTS `xsylumfr_main`.`_ComptCompte` (</t>
  </si>
  <si>
    <t xml:space="preserve">`ID_ComptCompte` TINYINT UNSIGNED NOT NULL AUTO_INCREMENT, </t>
  </si>
  <si>
    <t xml:space="preserve">PRIMARY KEY (ID_ComptCompte), </t>
  </si>
  <si>
    <t xml:space="preserve">`Txt_Devise` VARCHAR(8) CHARACTER SET utf8 COLLATE utf8_bin NOT NULL, </t>
  </si>
  <si>
    <t>`UpDT_Last%Update` TIMESTAMP DEFAULT CURRENT_TIMESTAMP ON UPDATE CURRENT_TIMESTAMP);</t>
  </si>
  <si>
    <t>CREATE TABLE IF NOT EXISTS `xsylumfr_main`.`_ComptFraisFixe` (</t>
  </si>
  <si>
    <t xml:space="preserve">`ID_ComptFraisFixe` TINYINT UNSIGNED NOT NULL AUTO_INCREMENT, </t>
  </si>
  <si>
    <t xml:space="preserve">PRIMARY KEY (ID_ComptFraisFixe), </t>
  </si>
  <si>
    <t xml:space="preserve">`Id_ComptCompte` TINYINT UNSIGNED NOT NULL, </t>
  </si>
  <si>
    <t xml:space="preserve">`Txt_Escroc` VARCHAR(30) CHARACTER SET utf8 COLLATE utf8_bin, </t>
  </si>
  <si>
    <t xml:space="preserve">`Txt_Comment` VARCHAR(100) CHARACTER SET utf8 COLLATE utf8_bin, </t>
  </si>
  <si>
    <t xml:space="preserve">`Dble_Revenu` DECIMAL(8,2) , </t>
  </si>
  <si>
    <t xml:space="preserve">`Dble_Depense` DECIMAL(8,2) , </t>
  </si>
  <si>
    <t>`Dble_Depense` DECIMAL(8,2) );</t>
  </si>
  <si>
    <t>CREATE TABLE IF NOT EXISTS `xsylumfr_main`.`_ComptMouvement` (</t>
  </si>
  <si>
    <t xml:space="preserve">`ID_ComptMouvement` SMALLINT UNSIGNED NOT NULL AUTO_INCREMENT, </t>
  </si>
  <si>
    <t xml:space="preserve">PRIMARY KEY (ID_ComptMouvement), </t>
  </si>
  <si>
    <t xml:space="preserve">`Id_ComptAnnee` TINYINT UNSIGNED NOT NULL, </t>
  </si>
  <si>
    <t xml:space="preserve">`Id_ComptPeriode` TINYINT UNSIGNED NOT NULL, </t>
  </si>
  <si>
    <t xml:space="preserve">`DT_Date` DATE , </t>
  </si>
  <si>
    <t>`Bool_Debite` TINYINT );</t>
  </si>
  <si>
    <t>CREATE TABLE IF NOT EXISTS `xsylumfr_main`.`_ComptPeriode` (</t>
  </si>
  <si>
    <t xml:space="preserve">`ID_ComptPeriode` TINYINT UNSIGNED NOT NULL AUTO_INCREMENT, </t>
  </si>
  <si>
    <t xml:space="preserve">PRIMARY KEY (ID_ComptPeriode), </t>
  </si>
  <si>
    <t>`Txt_ComptPeriode%Name` VARCHAR(25) CHARACTER SET utf8 COLLATE utf8_bin);</t>
  </si>
  <si>
    <t>CREATE TABLE IF NOT EXISTS `xsylumfr_main`.`_ComptSolde` (</t>
  </si>
  <si>
    <t xml:space="preserve">`ID_ComptSolde` TINYINT UNSIGNED NOT NULL AUTO_INCREMENT, </t>
  </si>
  <si>
    <t xml:space="preserve">PRIMARY KEY (ID_ComptSolde), </t>
  </si>
  <si>
    <t>`Dble_Value` DECIMAL(8,2) );</t>
  </si>
  <si>
    <t xml:space="preserve">`Txt_ComptCompte%Name` VARCHAR(16) CHARACTER SET utf8 COLLATE utf8_bin NOT NULL, </t>
  </si>
  <si>
    <t>DEFAULT  1.00000</t>
  </si>
  <si>
    <t xml:space="preserve">`Dble_TauxConversion` DECIMAL(10,5) DEFAULT  1.00000, 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</si>
</sst>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2" xfId="0" applyFont="1" applyFill="1" applyBorder="1"/>
    <xf numFmtId="0" fontId="0" fillId="0" borderId="1" xfId="0" applyBorder="1"/>
    <xf numFmtId="0" fontId="0" fillId="6" borderId="0" xfId="0" applyFill="1"/>
    <xf numFmtId="0" fontId="0" fillId="5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/>
    <xf numFmtId="0" fontId="0" fillId="2" borderId="1" xfId="0" applyFill="1" applyBorder="1"/>
    <xf numFmtId="0" fontId="1" fillId="10" borderId="1" xfId="0" applyFont="1" applyFill="1" applyBorder="1"/>
    <xf numFmtId="0" fontId="0" fillId="0" borderId="0" xfId="0" applyBorder="1"/>
    <xf numFmtId="0" fontId="0" fillId="2" borderId="5" xfId="0" applyFill="1" applyBorder="1" applyAlignment="1">
      <alignment vertic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3" fillId="11" borderId="0" xfId="0" applyFont="1" applyFill="1" applyBorder="1"/>
    <xf numFmtId="0" fontId="0" fillId="0" borderId="0" xfId="0" applyBorder="1" applyAlignment="1">
      <alignment horizontal="center"/>
    </xf>
    <xf numFmtId="0" fontId="0" fillId="0" borderId="0" xfId="0" quotePrefix="1"/>
    <xf numFmtId="0" fontId="0" fillId="0" borderId="0" xfId="0" quotePrefix="1" applyBorder="1"/>
    <xf numFmtId="0" fontId="0" fillId="12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</cellXfs>
  <cellStyles count="1">
    <cellStyle name="Normal" xfId="0" builtinId="0"/>
  </cellStyles>
  <dxfs count="33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relativeIndent="255" justifyLastLine="0" shrinkToFit="0" mergeCell="0" readingOrder="0"/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theme="5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SQL_Definition" displayName="SQL_Definition" ref="A1:I30" totalsRowShown="0">
  <autoFilter ref="A1:I30">
    <filterColumn colId="6"/>
    <filterColumn colId="7"/>
    <filterColumn colId="8"/>
  </autoFilter>
  <sortState ref="A2:I2">
    <sortCondition ref="A1:A2"/>
  </sortState>
  <tableColumns count="9">
    <tableColumn id="1" name="SearchKey">
      <calculatedColumnFormula>[Table Name]&amp;[Field Count]</calculatedColumnFormula>
    </tableColumn>
    <tableColumn id="2" name="Table Name"/>
    <tableColumn id="3" name="Field Count"/>
    <tableColumn id="4" name="Field Name"/>
    <tableColumn id="5" name="Field Type"/>
    <tableColumn id="6" name="Field Length"/>
    <tableColumn id="8" name="Field Length 2"/>
    <tableColumn id="7" name="Primary Key" dataDxfId="4"/>
    <tableColumn id="9" name="Parameter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Sql_Table_Name" displayName="Sql_Table_Name" ref="A1:B7" totalsRowShown="0" headerRowDxfId="3" headerRowBorderDxfId="2" tableBorderDxfId="1" totalsRowBorderDxfId="0">
  <autoFilter ref="A1:B7"/>
  <tableColumns count="2">
    <tableColumn id="1" name="Table Name"/>
    <tableColumn id="2" name="Table Defini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Sql_Field_Type" displayName="Sql_Field_Type" ref="A1:D11" totalsRowShown="0">
  <autoFilter ref="A1:D11">
    <filterColumn colId="1"/>
    <filterColumn colId="2"/>
    <filterColumn colId="3"/>
  </autoFilter>
  <sortState ref="A2:D11">
    <sortCondition ref="A1:A11"/>
  </sortState>
  <tableColumns count="4">
    <tableColumn id="1" name="Field Type"/>
    <tableColumn id="5" name="Default Length"/>
    <tableColumn id="2" name="Format"/>
    <tableColumn id="3" name="Comme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tabColor theme="3" tint="0.39997558519241921"/>
  </sheetPr>
  <dimension ref="B3:D18"/>
  <sheetViews>
    <sheetView showGridLines="0" workbookViewId="0">
      <selection activeCell="D8" sqref="D8"/>
    </sheetView>
  </sheetViews>
  <sheetFormatPr baseColWidth="10" defaultRowHeight="15"/>
  <cols>
    <col min="4" max="4" width="74.28515625" customWidth="1"/>
  </cols>
  <sheetData>
    <row r="3" spans="2:4">
      <c r="B3" s="23" t="s">
        <v>11</v>
      </c>
      <c r="C3" s="23"/>
      <c r="D3" s="2" t="s">
        <v>10</v>
      </c>
    </row>
    <row r="4" spans="2:4">
      <c r="B4" s="24" t="s">
        <v>11</v>
      </c>
      <c r="C4" s="24"/>
      <c r="D4" s="2" t="s">
        <v>12</v>
      </c>
    </row>
    <row r="5" spans="2:4">
      <c r="B5" s="25" t="s">
        <v>11</v>
      </c>
      <c r="C5" s="25"/>
      <c r="D5" s="2" t="s">
        <v>13</v>
      </c>
    </row>
    <row r="7" spans="2:4">
      <c r="B7" s="26" t="s">
        <v>136</v>
      </c>
      <c r="C7" s="26"/>
      <c r="D7" s="2" t="s">
        <v>319</v>
      </c>
    </row>
    <row r="10" spans="2:4">
      <c r="B10" s="20" t="s">
        <v>270</v>
      </c>
      <c r="C10" s="20"/>
      <c r="D10" s="19"/>
    </row>
    <row r="11" spans="2:4">
      <c r="B11" s="20"/>
      <c r="C11" s="20"/>
      <c r="D11" s="19"/>
    </row>
    <row r="12" spans="2:4">
      <c r="B12" s="20" t="s">
        <v>271</v>
      </c>
      <c r="C12" s="20"/>
      <c r="D12" s="21"/>
    </row>
    <row r="13" spans="2:4">
      <c r="B13" s="20"/>
      <c r="C13" s="20"/>
      <c r="D13" s="21"/>
    </row>
    <row r="14" spans="2:4">
      <c r="B14" s="20" t="s">
        <v>272</v>
      </c>
      <c r="C14" s="20"/>
      <c r="D14" s="22"/>
    </row>
    <row r="15" spans="2:4">
      <c r="B15" s="20"/>
      <c r="C15" s="20"/>
      <c r="D15" s="22"/>
    </row>
    <row r="18" spans="4:4">
      <c r="D18" t="s">
        <v>284</v>
      </c>
    </row>
  </sheetData>
  <mergeCells count="10">
    <mergeCell ref="B3:C3"/>
    <mergeCell ref="B4:C4"/>
    <mergeCell ref="B5:C5"/>
    <mergeCell ref="B7:C7"/>
    <mergeCell ref="B10:C11"/>
    <mergeCell ref="D10:D11"/>
    <mergeCell ref="B12:C13"/>
    <mergeCell ref="D12:D13"/>
    <mergeCell ref="B14:C15"/>
    <mergeCell ref="D14:D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1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/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e">
        <f t="array" ref="B2:M2">VLOOKUP($B$1&amp;(COLUMN()-1),SQL_Definition[],4,FALSE)</f>
        <v>#N/A</v>
      </c>
      <c r="C2" s="5" t="e">
        <v>#N/A</v>
      </c>
      <c r="D2" s="11" t="e">
        <v>#N/A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 t="e">
        <f t="array" ref="B3:M3">VLOOKUP($B$1&amp;(COLUMN()-1),SQL_Definition[],6,FALSE)</f>
        <v>#N/A</v>
      </c>
      <c r="C3" s="5" t="e">
        <v>#N/A</v>
      </c>
      <c r="D3" s="5" t="e">
        <v>#N/A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32" priority="1">
      <formula>AND(B$3&lt;&gt;"-",LEN(B4)&gt;B$3)</formula>
    </cfRule>
    <cfRule type="expression" dxfId="31" priority="2">
      <formula>ISERROR(B$2)</formula>
    </cfRule>
    <cfRule type="expression" dxfId="30" priority="3">
      <formula>AND(B$3&lt;&gt;"-",LEN(B4)&gt;B$3)</formula>
    </cfRule>
    <cfRule type="expression" dxfId="29" priority="4">
      <formula>ISERROR(B$2)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2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285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ID_ComptAnnee</v>
      </c>
      <c r="C2" s="5" t="str">
        <v>Int_ComptAnnee%Name</v>
      </c>
      <c r="D2" s="11" t="e">
        <v>#N/A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3</v>
      </c>
      <c r="C3" s="5">
        <v>4</v>
      </c>
      <c r="D3" s="5" t="e">
        <v>#N/A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28" priority="1">
      <formula>AND(B$3&lt;&gt;"-",LEN(B4)&gt;B$3)</formula>
    </cfRule>
    <cfRule type="expression" dxfId="27" priority="2">
      <formula>ISERROR(B$2)</formula>
    </cfRule>
    <cfRule type="expression" dxfId="26" priority="3">
      <formula>AND(B$3&lt;&gt;"-",LEN(B4)&gt;B$3)</formula>
    </cfRule>
    <cfRule type="expression" dxfId="25" priority="4">
      <formula>ISERROR(B$2)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13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286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ID_ComptCompte</v>
      </c>
      <c r="C2" s="5" t="str">
        <v>Txt_ComptCompte%Name</v>
      </c>
      <c r="D2" s="11" t="str">
        <v>Txt_Devise</v>
      </c>
      <c r="E2" s="11" t="str">
        <v>Dble_TauxConversion</v>
      </c>
      <c r="F2" s="11" t="str">
        <v>UpDT_Last%Update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3</v>
      </c>
      <c r="C3" s="5">
        <v>16</v>
      </c>
      <c r="D3" s="5">
        <v>8</v>
      </c>
      <c r="E3" s="5">
        <v>10</v>
      </c>
      <c r="F3" s="5">
        <v>0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24" priority="1">
      <formula>AND(B$3&lt;&gt;"-",LEN(B4)&gt;B$3)</formula>
    </cfRule>
    <cfRule type="expression" dxfId="23" priority="2">
      <formula>ISERROR(B$2)</formula>
    </cfRule>
    <cfRule type="expression" dxfId="22" priority="3">
      <formula>AND(B$3&lt;&gt;"-",LEN(B4)&gt;B$3)</formula>
    </cfRule>
    <cfRule type="expression" dxfId="21" priority="4">
      <formula>ISERROR(B$2)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4">
    <tabColor rgb="FF00B050"/>
  </sheetPr>
  <dimension ref="A1:M123"/>
  <sheetViews>
    <sheetView tabSelected="1"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287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ID_ComptFraisFixe</v>
      </c>
      <c r="C2" s="5" t="str">
        <v>Id_ComptCompte</v>
      </c>
      <c r="D2" s="11" t="str">
        <v>Txt_Escroc</v>
      </c>
      <c r="E2" s="11" t="str">
        <v>Txt_Comment</v>
      </c>
      <c r="F2" s="11" t="str">
        <v>Dble_Revenu</v>
      </c>
      <c r="G2" s="11" t="str">
        <v>Dble_Depense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3</v>
      </c>
      <c r="C3" s="5">
        <v>3</v>
      </c>
      <c r="D3" s="5">
        <v>30</v>
      </c>
      <c r="E3" s="5">
        <v>100</v>
      </c>
      <c r="F3" s="5">
        <v>8</v>
      </c>
      <c r="G3" s="5">
        <v>8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20" priority="1">
      <formula>AND(B$3&lt;&gt;"-",LEN(B4)&gt;B$3)</formula>
    </cfRule>
    <cfRule type="expression" dxfId="19" priority="2">
      <formula>ISERROR(B$2)</formula>
    </cfRule>
    <cfRule type="expression" dxfId="18" priority="3">
      <formula>AND(B$3&lt;&gt;"-",LEN(B4)&gt;B$3)</formula>
    </cfRule>
    <cfRule type="expression" dxfId="17" priority="4">
      <formula>ISERROR(B$2)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15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288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ID_ComptMouvement</v>
      </c>
      <c r="C2" s="5" t="str">
        <v>Id_ComptCompte</v>
      </c>
      <c r="D2" s="11" t="str">
        <v>Id_ComptAnnee</v>
      </c>
      <c r="E2" s="11" t="str">
        <v>Id_ComptPeriode</v>
      </c>
      <c r="F2" s="11" t="str">
        <v>DT_Date</v>
      </c>
      <c r="G2" s="11" t="str">
        <v>Txt_Escroc</v>
      </c>
      <c r="H2" s="11" t="str">
        <v>Txt_Comment</v>
      </c>
      <c r="I2" s="11" t="str">
        <v>Dble_Revenu</v>
      </c>
      <c r="J2" s="11" t="str">
        <v>Dble_Depense</v>
      </c>
      <c r="K2" s="5" t="str">
        <v>Bool_Debite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5</v>
      </c>
      <c r="C3" s="5">
        <v>3</v>
      </c>
      <c r="D3" s="5">
        <v>3</v>
      </c>
      <c r="E3" s="5">
        <v>3</v>
      </c>
      <c r="F3" s="5">
        <v>0</v>
      </c>
      <c r="G3" s="5">
        <v>30</v>
      </c>
      <c r="H3" s="5">
        <v>100</v>
      </c>
      <c r="I3" s="5">
        <v>8</v>
      </c>
      <c r="J3" s="5">
        <v>8</v>
      </c>
      <c r="K3" s="5">
        <v>1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16" priority="1">
      <formula>AND(B$3&lt;&gt;"-",LEN(B4)&gt;B$3)</formula>
    </cfRule>
    <cfRule type="expression" dxfId="15" priority="2">
      <formula>ISERROR(B$2)</formula>
    </cfRule>
    <cfRule type="expression" dxfId="14" priority="3">
      <formula>AND(B$3&lt;&gt;"-",LEN(B4)&gt;B$3)</formula>
    </cfRule>
    <cfRule type="expression" dxfId="13" priority="4">
      <formula>ISERROR(B$2)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16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289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ID_ComptPeriode</v>
      </c>
      <c r="C2" s="5" t="str">
        <v>Txt_ComptPeriode%Name</v>
      </c>
      <c r="D2" s="11" t="e">
        <v>#N/A</v>
      </c>
      <c r="E2" s="11" t="e">
        <v>#N/A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3</v>
      </c>
      <c r="C3" s="5">
        <v>25</v>
      </c>
      <c r="D3" s="5" t="e">
        <v>#N/A</v>
      </c>
      <c r="E3" s="5" t="e">
        <v>#N/A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12" priority="1">
      <formula>AND(B$3&lt;&gt;"-",LEN(B4)&gt;B$3)</formula>
    </cfRule>
    <cfRule type="expression" dxfId="11" priority="2">
      <formula>ISERROR(B$2)</formula>
    </cfRule>
    <cfRule type="expression" dxfId="10" priority="3">
      <formula>AND(B$3&lt;&gt;"-",LEN(B4)&gt;B$3)</formula>
    </cfRule>
    <cfRule type="expression" dxfId="9" priority="4">
      <formula>ISERROR(B$2)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17">
    <tabColor rgb="FF00B050"/>
  </sheetPr>
  <dimension ref="A1:M123"/>
  <sheetViews>
    <sheetView zoomScale="85" zoomScaleNormal="85" workbookViewId="0">
      <pane ySplit="3" topLeftCell="A4" activePane="bottomLeft" state="frozen"/>
      <selection activeCell="G20" sqref="G20"/>
      <selection pane="bottomLeft"/>
    </sheetView>
  </sheetViews>
  <sheetFormatPr baseColWidth="10" defaultRowHeight="15"/>
  <cols>
    <col min="2" max="11" width="14.7109375" customWidth="1"/>
  </cols>
  <sheetData>
    <row r="1" spans="1:13" ht="15.75" thickBot="1">
      <c r="A1" s="1" t="s">
        <v>7</v>
      </c>
      <c r="B1" s="27" t="s">
        <v>290</v>
      </c>
      <c r="C1" s="28"/>
      <c r="D1" s="12"/>
      <c r="E1" s="13"/>
      <c r="F1" s="13"/>
      <c r="G1" s="13"/>
      <c r="H1" s="13"/>
      <c r="I1" s="13"/>
      <c r="J1" s="13"/>
      <c r="K1" s="13"/>
      <c r="L1" s="13"/>
      <c r="M1" s="14"/>
    </row>
    <row r="2" spans="1:13" s="6" customFormat="1" ht="24.75" customHeight="1">
      <c r="A2" s="4" t="s">
        <v>5</v>
      </c>
      <c r="B2" s="5" t="str">
        <f t="array" ref="B2:M2">VLOOKUP($B$1&amp;(COLUMN()-1),SQL_Definition[],4,FALSE)</f>
        <v>ID_ComptSolde</v>
      </c>
      <c r="C2" s="5" t="str">
        <v>Id_ComptCompte</v>
      </c>
      <c r="D2" s="11" t="str">
        <v>Id_ComptAnnee</v>
      </c>
      <c r="E2" s="11" t="str">
        <v>Dble_Value</v>
      </c>
      <c r="F2" s="11" t="e">
        <v>#N/A</v>
      </c>
      <c r="G2" s="11" t="e">
        <v>#N/A</v>
      </c>
      <c r="H2" s="11" t="e">
        <v>#N/A</v>
      </c>
      <c r="I2" s="11" t="e">
        <v>#N/A</v>
      </c>
      <c r="J2" s="11" t="e">
        <v>#N/A</v>
      </c>
      <c r="K2" s="5" t="e">
        <v>#N/A</v>
      </c>
      <c r="L2" s="5" t="e">
        <v>#N/A</v>
      </c>
      <c r="M2" s="5" t="e">
        <v>#N/A</v>
      </c>
    </row>
    <row r="3" spans="1:13" s="6" customFormat="1">
      <c r="A3" s="4" t="s">
        <v>9</v>
      </c>
      <c r="B3" s="5">
        <f t="array" ref="B3:M3">VLOOKUP($B$1&amp;(COLUMN()-1),SQL_Definition[],6,FALSE)</f>
        <v>3</v>
      </c>
      <c r="C3" s="5">
        <v>3</v>
      </c>
      <c r="D3" s="5">
        <v>3</v>
      </c>
      <c r="E3" s="5">
        <v>8</v>
      </c>
      <c r="F3" s="5" t="e">
        <v>#N/A</v>
      </c>
      <c r="G3" s="5" t="e">
        <v>#N/A</v>
      </c>
      <c r="H3" s="5" t="e">
        <v>#N/A</v>
      </c>
      <c r="I3" s="5" t="e">
        <v>#N/A</v>
      </c>
      <c r="J3" s="5" t="e">
        <v>#N/A</v>
      </c>
      <c r="K3" s="5" t="e">
        <v>#N/A</v>
      </c>
      <c r="L3" s="5" t="e">
        <v>#N/A</v>
      </c>
      <c r="M3" s="5" t="e">
        <v>#N/A</v>
      </c>
    </row>
    <row r="4" spans="1:13">
      <c r="A4" s="3"/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>
      <c r="A5" s="3"/>
      <c r="B5" s="2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>
      <c r="A6" s="3"/>
      <c r="B6" s="2">
        <v>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>
      <c r="A7" s="3"/>
      <c r="B7" s="2">
        <v>4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>
      <c r="A8" s="3"/>
      <c r="B8" s="2">
        <v>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>
      <c r="A9" s="3"/>
      <c r="B9" s="2">
        <v>6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>
      <c r="A10" s="3"/>
      <c r="B10" s="2">
        <v>7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>
      <c r="A11" s="3"/>
      <c r="B11" s="2">
        <v>8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>
      <c r="A12" s="3"/>
      <c r="B12" s="2">
        <v>9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>
      <c r="A13" s="3"/>
      <c r="B13" s="2">
        <v>10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>
      <c r="A14" s="3"/>
      <c r="B14" s="2">
        <v>11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>
      <c r="A15" s="3"/>
      <c r="B15" s="2">
        <v>12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>
      <c r="A16" s="3"/>
      <c r="B16" s="2">
        <v>13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>
      <c r="A17" s="3"/>
      <c r="B17" s="2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>
      <c r="A18" s="3"/>
      <c r="B18" s="2">
        <v>15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>
      <c r="A19" s="3"/>
      <c r="B19" s="2">
        <v>16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>
      <c r="A20" s="3"/>
      <c r="B20" s="2">
        <v>17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>
      <c r="A21" s="3"/>
      <c r="B21" s="2">
        <v>18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>
      <c r="A22" s="3"/>
      <c r="B22" s="2">
        <v>19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A23" s="3"/>
      <c r="B23" s="2">
        <v>20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>
      <c r="A24" s="3"/>
      <c r="B24" s="2">
        <v>21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>
      <c r="A25" s="3"/>
      <c r="B25" s="2">
        <v>22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>
      <c r="A26" s="3"/>
      <c r="B26" s="2">
        <v>23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A27" s="3"/>
      <c r="B27" s="2">
        <v>24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>
      <c r="A28" s="3"/>
      <c r="B28" s="2">
        <v>25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>
      <c r="A29" s="3"/>
      <c r="B29" s="2">
        <v>26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>
      <c r="A30" s="3"/>
      <c r="B30" s="2">
        <v>27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A31" s="3"/>
      <c r="B31" s="2">
        <v>28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>
      <c r="A32" s="3"/>
      <c r="B32" s="2">
        <v>29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>
      <c r="A33" s="3"/>
      <c r="B33" s="2">
        <v>30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>
      <c r="A34" s="3"/>
      <c r="B34" s="2">
        <v>31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A35" s="3"/>
      <c r="B35" s="2">
        <v>32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>
      <c r="A36" s="3"/>
      <c r="B36" s="2">
        <v>33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>
      <c r="A37" s="3"/>
      <c r="B37" s="2">
        <v>34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>
      <c r="A38" s="3"/>
      <c r="B38" s="2">
        <v>35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>
      <c r="A39" s="3"/>
      <c r="B39" s="2">
        <v>36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>
      <c r="A40" s="3"/>
      <c r="B40" s="2">
        <v>37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>
      <c r="A41" s="3"/>
      <c r="B41" s="2">
        <v>38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>
      <c r="A42" s="3"/>
      <c r="B42" s="2">
        <v>39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>
      <c r="A43" s="3"/>
      <c r="B43" s="2">
        <v>40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>
      <c r="A44" s="3"/>
      <c r="B44" s="2">
        <v>41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>
      <c r="A45" s="3"/>
      <c r="B45" s="2">
        <v>42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>
      <c r="A46" s="3"/>
      <c r="B46" s="2">
        <v>43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>
      <c r="A47" s="3"/>
      <c r="B47" s="2">
        <v>44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>
      <c r="A48" s="3"/>
      <c r="B48" s="2">
        <v>45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>
      <c r="A49" s="3"/>
      <c r="B49" s="2">
        <v>46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>
      <c r="A50" s="3"/>
      <c r="B50" s="2">
        <v>47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>
      <c r="A51" s="3"/>
      <c r="B51" s="2">
        <v>48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>
      <c r="A52" s="3"/>
      <c r="B52" s="2">
        <v>49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>
      <c r="A53" s="3"/>
      <c r="B53" s="2">
        <v>50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>
      <c r="A54" s="3"/>
      <c r="B54" s="2">
        <v>51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>
      <c r="A55" s="3"/>
      <c r="B55" s="2">
        <v>52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>
      <c r="A56" s="3"/>
      <c r="B56" s="2">
        <v>53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>
      <c r="A57" s="3"/>
      <c r="B57" s="2">
        <v>54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>
      <c r="A58" s="3"/>
      <c r="B58" s="2">
        <v>55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>
      <c r="A59" s="3"/>
      <c r="B59" s="2">
        <v>56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>
      <c r="A60" s="3"/>
      <c r="B60" s="2">
        <v>57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>
      <c r="A61" s="3"/>
      <c r="B61" s="2">
        <v>58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>
      <c r="A62" s="3"/>
      <c r="B62" s="2">
        <v>59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>
      <c r="A63" s="3"/>
      <c r="B63" s="2">
        <v>60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>
      <c r="A64" s="3"/>
      <c r="B64" s="2">
        <v>61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>
      <c r="A65" s="3"/>
      <c r="B65" s="2">
        <v>62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>
      <c r="A66" s="3"/>
      <c r="B66" s="2">
        <v>63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>
      <c r="A67" s="3"/>
      <c r="B67" s="2"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>
      <c r="A68" s="3"/>
      <c r="B68" s="2">
        <v>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>
      <c r="A69" s="3"/>
      <c r="B69" s="2">
        <v>66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>
      <c r="A70" s="3"/>
      <c r="B70" s="2">
        <v>67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>
      <c r="A71" s="3"/>
      <c r="B71" s="2">
        <v>68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>
      <c r="A72" s="3"/>
      <c r="B72" s="2">
        <v>69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</row>
    <row r="73" spans="1:13">
      <c r="A73" s="3"/>
      <c r="B73" s="2">
        <v>70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</row>
    <row r="74" spans="1:13">
      <c r="A74" s="3"/>
      <c r="B74" s="2">
        <v>71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</row>
    <row r="75" spans="1:13">
      <c r="A75" s="3"/>
      <c r="B75" s="2">
        <v>72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</row>
    <row r="76" spans="1:13">
      <c r="A76" s="3"/>
      <c r="B76" s="2">
        <v>73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</row>
    <row r="77" spans="1:13">
      <c r="A77" s="3"/>
      <c r="B77" s="2">
        <v>74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>
      <c r="A78" s="3"/>
      <c r="B78" s="2">
        <v>75</v>
      </c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>
      <c r="A79" s="3"/>
      <c r="B79" s="2">
        <v>76</v>
      </c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>
      <c r="A80" s="3"/>
      <c r="B80" s="2">
        <v>77</v>
      </c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>
      <c r="A81" s="3"/>
      <c r="B81" s="2">
        <v>78</v>
      </c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>
      <c r="A82" s="3"/>
      <c r="B82" s="2">
        <v>79</v>
      </c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>
      <c r="A83" s="3"/>
      <c r="B83" s="2">
        <v>80</v>
      </c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>
      <c r="A84" s="3"/>
      <c r="B84" s="2">
        <v>81</v>
      </c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>
      <c r="A85" s="3"/>
      <c r="B85" s="2">
        <v>82</v>
      </c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>
      <c r="A86" s="3"/>
      <c r="B86" s="2">
        <v>83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>
      <c r="A87" s="3"/>
      <c r="B87" s="2">
        <v>84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>
      <c r="A88" s="3"/>
      <c r="B88" s="2">
        <v>85</v>
      </c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>
      <c r="A89" s="3"/>
      <c r="B89" s="2">
        <v>86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>
      <c r="A90" s="3"/>
      <c r="B90" s="2">
        <v>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>
      <c r="A91" s="3"/>
      <c r="B91" s="2">
        <v>88</v>
      </c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>
      <c r="A92" s="3"/>
      <c r="B92" s="2">
        <v>89</v>
      </c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>
      <c r="A93" s="3"/>
      <c r="B93" s="2">
        <v>90</v>
      </c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>
      <c r="A94" s="3"/>
      <c r="B94" s="2">
        <v>91</v>
      </c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</row>
    <row r="95" spans="1:13">
      <c r="A95" s="3"/>
      <c r="B95" s="2">
        <v>92</v>
      </c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</row>
    <row r="96" spans="1:13">
      <c r="A96" s="3"/>
      <c r="B96" s="2">
        <v>93</v>
      </c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</row>
    <row r="97" spans="1:13">
      <c r="A97" s="3"/>
      <c r="B97" s="2">
        <v>94</v>
      </c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</row>
    <row r="98" spans="1:13">
      <c r="A98" s="3"/>
      <c r="B98" s="2">
        <v>95</v>
      </c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</row>
    <row r="99" spans="1:13">
      <c r="A99" s="3"/>
      <c r="B99" s="2">
        <v>96</v>
      </c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</row>
    <row r="100" spans="1:13">
      <c r="A100" s="3"/>
      <c r="B100" s="2">
        <v>97</v>
      </c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</row>
    <row r="101" spans="1:13">
      <c r="A101" s="3"/>
      <c r="B101" s="2">
        <v>98</v>
      </c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</row>
    <row r="102" spans="1:13">
      <c r="A102" s="3"/>
      <c r="B102" s="2">
        <v>99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</row>
    <row r="103" spans="1:13">
      <c r="A103" s="3"/>
      <c r="B103" s="2">
        <v>100</v>
      </c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</row>
    <row r="104" spans="1:13">
      <c r="A104" s="3"/>
      <c r="B104" s="2">
        <v>101</v>
      </c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</row>
    <row r="105" spans="1:13">
      <c r="A105" s="3"/>
      <c r="B105" s="2">
        <v>102</v>
      </c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1:13">
      <c r="A106" s="3"/>
      <c r="B106" s="2">
        <v>103</v>
      </c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</row>
    <row r="107" spans="1:13">
      <c r="A107" s="3"/>
      <c r="B107" s="2">
        <v>104</v>
      </c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</row>
    <row r="108" spans="1:13">
      <c r="A108" s="3"/>
      <c r="B108" s="2">
        <v>105</v>
      </c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</row>
    <row r="109" spans="1:13">
      <c r="A109" s="3"/>
      <c r="B109" s="2">
        <v>106</v>
      </c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</row>
    <row r="110" spans="1:13">
      <c r="A110" s="3"/>
      <c r="B110" s="2">
        <v>107</v>
      </c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</row>
    <row r="111" spans="1:13">
      <c r="A111" s="3"/>
      <c r="B111" s="2">
        <v>108</v>
      </c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</row>
    <row r="112" spans="1:13">
      <c r="A112" s="3"/>
      <c r="B112" s="2">
        <v>109</v>
      </c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3">
      <c r="A113" s="3"/>
      <c r="B113" s="2">
        <v>110</v>
      </c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</row>
    <row r="114" spans="1:13">
      <c r="A114" s="3"/>
      <c r="B114" s="2">
        <v>111</v>
      </c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</row>
    <row r="115" spans="1:13">
      <c r="A115" s="3"/>
      <c r="B115" s="2">
        <v>112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</row>
    <row r="116" spans="1:13">
      <c r="A116" s="3"/>
      <c r="B116" s="2">
        <v>113</v>
      </c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</row>
    <row r="117" spans="1:13">
      <c r="A117" s="3"/>
      <c r="B117" s="2">
        <v>114</v>
      </c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</row>
    <row r="118" spans="1:13">
      <c r="A118" s="3"/>
      <c r="B118" s="2">
        <v>115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</row>
    <row r="119" spans="1:13">
      <c r="A119" s="3"/>
      <c r="B119" s="2">
        <v>116</v>
      </c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</row>
    <row r="120" spans="1:13">
      <c r="A120" s="3"/>
      <c r="B120" s="2">
        <v>117</v>
      </c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</row>
    <row r="121" spans="1:13">
      <c r="A121" s="3"/>
      <c r="B121" s="2">
        <v>118</v>
      </c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</row>
    <row r="122" spans="1:13">
      <c r="A122" s="3"/>
      <c r="B122" s="2">
        <v>119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</row>
    <row r="123" spans="1:13">
      <c r="A123" s="3"/>
      <c r="B123" s="2">
        <v>120</v>
      </c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</row>
  </sheetData>
  <mergeCells count="1">
    <mergeCell ref="B1:C1"/>
  </mergeCells>
  <conditionalFormatting sqref="B4:M123">
    <cfRule type="expression" dxfId="8" priority="1">
      <formula>AND(B$3&lt;&gt;"-",LEN(B4)&gt;B$3)</formula>
    </cfRule>
    <cfRule type="expression" dxfId="7" priority="2">
      <formula>ISERROR(B$2)</formula>
    </cfRule>
    <cfRule type="expression" dxfId="6" priority="3">
      <formula>AND(B$3&lt;&gt;"-",LEN(B4)&gt;B$3)</formula>
    </cfRule>
    <cfRule type="expression" dxfId="5" priority="4">
      <formula>ISERROR(B$2)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7">
    <tabColor theme="9" tint="0.39997558519241921"/>
  </sheetPr>
  <dimension ref="A1:I30"/>
  <sheetViews>
    <sheetView topLeftCell="A13" zoomScale="90" zoomScaleNormal="90" workbookViewId="0">
      <selection activeCell="D18" sqref="D18"/>
    </sheetView>
  </sheetViews>
  <sheetFormatPr baseColWidth="10" defaultRowHeight="15"/>
  <cols>
    <col min="1" max="1" width="20.28515625" bestFit="1" customWidth="1"/>
    <col min="2" max="2" width="20.7109375" customWidth="1"/>
    <col min="3" max="3" width="13.5703125" customWidth="1"/>
    <col min="4" max="4" width="18.7109375" customWidth="1"/>
    <col min="5" max="5" width="12.5703125" customWidth="1"/>
    <col min="6" max="6" width="14.28515625" bestFit="1" customWidth="1"/>
    <col min="7" max="7" width="15.85546875" bestFit="1" customWidth="1"/>
    <col min="9" max="9" width="61.85546875" customWidth="1"/>
  </cols>
  <sheetData>
    <row r="1" spans="1:9">
      <c r="A1" t="s">
        <v>6</v>
      </c>
      <c r="B1" t="s">
        <v>0</v>
      </c>
      <c r="C1" t="s">
        <v>4</v>
      </c>
      <c r="D1" t="s">
        <v>1</v>
      </c>
      <c r="E1" t="s">
        <v>2</v>
      </c>
      <c r="F1" t="s">
        <v>3</v>
      </c>
      <c r="G1" t="s">
        <v>268</v>
      </c>
      <c r="H1" t="s">
        <v>257</v>
      </c>
      <c r="I1" t="s">
        <v>269</v>
      </c>
    </row>
    <row r="2" spans="1:9">
      <c r="A2" s="10" t="str">
        <f>[Table Name]&amp;[Field Count]</f>
        <v>_ComptAnnee1</v>
      </c>
      <c r="B2" s="10" t="s">
        <v>285</v>
      </c>
      <c r="C2" s="10">
        <v>1</v>
      </c>
      <c r="D2" s="10" t="s">
        <v>291</v>
      </c>
      <c r="E2" s="10" t="s">
        <v>260</v>
      </c>
      <c r="F2" s="10">
        <v>3</v>
      </c>
      <c r="G2" s="10"/>
      <c r="H2" s="16" t="s">
        <v>314</v>
      </c>
      <c r="I2" s="10" t="s">
        <v>315</v>
      </c>
    </row>
    <row r="3" spans="1:9">
      <c r="A3" s="10" t="str">
        <f>[Table Name]&amp;[Field Count]</f>
        <v>_ComptAnnee2</v>
      </c>
      <c r="B3" s="10" t="s">
        <v>285</v>
      </c>
      <c r="C3" s="10">
        <v>2</v>
      </c>
      <c r="D3" s="10" t="s">
        <v>292</v>
      </c>
      <c r="E3" s="10" t="s">
        <v>261</v>
      </c>
      <c r="F3" s="10">
        <v>4</v>
      </c>
      <c r="G3" s="10"/>
      <c r="H3" s="16"/>
      <c r="I3" s="10" t="s">
        <v>316</v>
      </c>
    </row>
    <row r="4" spans="1:9">
      <c r="A4" s="10" t="str">
        <f>[Table Name]&amp;[Field Count]</f>
        <v>_ComptCompte1</v>
      </c>
      <c r="B4" s="10" t="s">
        <v>286</v>
      </c>
      <c r="C4" s="10">
        <v>1</v>
      </c>
      <c r="D4" s="10" t="s">
        <v>293</v>
      </c>
      <c r="E4" s="10" t="s">
        <v>260</v>
      </c>
      <c r="F4" s="10">
        <v>3</v>
      </c>
      <c r="G4" s="10"/>
      <c r="H4" s="16" t="s">
        <v>314</v>
      </c>
      <c r="I4" s="10" t="s">
        <v>315</v>
      </c>
    </row>
    <row r="5" spans="1:9">
      <c r="A5" s="10" t="str">
        <f>[Table Name]&amp;[Field Count]</f>
        <v>_ComptCompte2</v>
      </c>
      <c r="B5" s="10" t="s">
        <v>286</v>
      </c>
      <c r="C5" s="10">
        <v>2</v>
      </c>
      <c r="D5" s="10" t="s">
        <v>294</v>
      </c>
      <c r="E5" s="10" t="s">
        <v>258</v>
      </c>
      <c r="F5" s="10">
        <v>16</v>
      </c>
      <c r="G5" s="10"/>
      <c r="H5" s="16"/>
      <c r="I5" s="10" t="s">
        <v>317</v>
      </c>
    </row>
    <row r="6" spans="1:9">
      <c r="A6" s="10" t="str">
        <f>[Table Name]&amp;[Field Count]</f>
        <v>_ComptCompte3</v>
      </c>
      <c r="B6" s="10" t="s">
        <v>286</v>
      </c>
      <c r="C6" s="10">
        <v>3</v>
      </c>
      <c r="D6" s="10" t="s">
        <v>295</v>
      </c>
      <c r="E6" s="10" t="s">
        <v>258</v>
      </c>
      <c r="F6" s="10">
        <v>8</v>
      </c>
      <c r="G6" s="10"/>
      <c r="H6" s="16"/>
      <c r="I6" s="10" t="s">
        <v>317</v>
      </c>
    </row>
    <row r="7" spans="1:9">
      <c r="A7" s="10" t="str">
        <f>[Table Name]&amp;[Field Count]</f>
        <v>_ComptCompte4</v>
      </c>
      <c r="B7" s="10" t="s">
        <v>286</v>
      </c>
      <c r="C7" s="10">
        <v>4</v>
      </c>
      <c r="D7" s="10" t="s">
        <v>296</v>
      </c>
      <c r="E7" s="10" t="s">
        <v>264</v>
      </c>
      <c r="F7" s="10">
        <v>10</v>
      </c>
      <c r="G7" s="10">
        <v>5</v>
      </c>
      <c r="H7" s="16"/>
      <c r="I7" s="10" t="s">
        <v>354</v>
      </c>
    </row>
    <row r="8" spans="1:9">
      <c r="A8" s="10" t="str">
        <f>[Table Name]&amp;[Field Count]</f>
        <v>_ComptCompte5</v>
      </c>
      <c r="B8" s="10" t="s">
        <v>286</v>
      </c>
      <c r="C8" s="10">
        <v>5</v>
      </c>
      <c r="D8" s="10" t="s">
        <v>312</v>
      </c>
      <c r="E8" s="10" t="s">
        <v>259</v>
      </c>
      <c r="F8" s="10"/>
      <c r="G8" s="10"/>
      <c r="H8" s="16"/>
      <c r="I8" s="10" t="s">
        <v>313</v>
      </c>
    </row>
    <row r="9" spans="1:9">
      <c r="A9" s="10" t="str">
        <f>[Table Name]&amp;[Field Count]</f>
        <v>_ComptFraisFixe1</v>
      </c>
      <c r="B9" s="10" t="s">
        <v>287</v>
      </c>
      <c r="C9" s="10">
        <v>1</v>
      </c>
      <c r="D9" s="10" t="s">
        <v>297</v>
      </c>
      <c r="E9" s="10" t="s">
        <v>260</v>
      </c>
      <c r="F9" s="10">
        <v>3</v>
      </c>
      <c r="G9" s="10"/>
      <c r="H9" s="16" t="s">
        <v>314</v>
      </c>
      <c r="I9" s="10" t="s">
        <v>315</v>
      </c>
    </row>
    <row r="10" spans="1:9">
      <c r="A10" s="10" t="str">
        <f>[Table Name]&amp;[Field Count]</f>
        <v>_ComptFraisFixe2</v>
      </c>
      <c r="B10" s="10" t="s">
        <v>287</v>
      </c>
      <c r="C10" s="10">
        <v>2</v>
      </c>
      <c r="D10" s="10" t="s">
        <v>298</v>
      </c>
      <c r="E10" s="10" t="s">
        <v>260</v>
      </c>
      <c r="F10" s="10">
        <v>3</v>
      </c>
      <c r="G10" s="10"/>
      <c r="H10" s="16"/>
      <c r="I10" s="10" t="s">
        <v>316</v>
      </c>
    </row>
    <row r="11" spans="1:9">
      <c r="A11" s="10" t="str">
        <f>[Table Name]&amp;[Field Count]</f>
        <v>_ComptFraisFixe3</v>
      </c>
      <c r="B11" s="10" t="s">
        <v>287</v>
      </c>
      <c r="C11" s="10">
        <v>3</v>
      </c>
      <c r="D11" s="10" t="s">
        <v>299</v>
      </c>
      <c r="E11" s="10" t="s">
        <v>258</v>
      </c>
      <c r="F11" s="10">
        <v>30</v>
      </c>
      <c r="G11" s="10"/>
      <c r="H11" s="16"/>
      <c r="I11" s="10" t="s">
        <v>318</v>
      </c>
    </row>
    <row r="12" spans="1:9">
      <c r="A12" s="10" t="str">
        <f>[Table Name]&amp;[Field Count]</f>
        <v>_ComptFraisFixe4</v>
      </c>
      <c r="B12" s="10" t="s">
        <v>287</v>
      </c>
      <c r="C12" s="10">
        <v>4</v>
      </c>
      <c r="D12" s="10" t="s">
        <v>300</v>
      </c>
      <c r="E12" s="10" t="s">
        <v>258</v>
      </c>
      <c r="F12" s="10">
        <v>100</v>
      </c>
      <c r="G12" s="10"/>
      <c r="H12" s="16"/>
      <c r="I12" s="10" t="s">
        <v>318</v>
      </c>
    </row>
    <row r="13" spans="1:9">
      <c r="A13" s="10" t="str">
        <f>[Table Name]&amp;[Field Count]</f>
        <v>_ComptFraisFixe5</v>
      </c>
      <c r="B13" s="10" t="s">
        <v>287</v>
      </c>
      <c r="C13" s="10">
        <v>5</v>
      </c>
      <c r="D13" s="10" t="s">
        <v>301</v>
      </c>
      <c r="E13" s="10" t="s">
        <v>264</v>
      </c>
      <c r="F13" s="10">
        <v>8</v>
      </c>
      <c r="G13" s="10">
        <v>2</v>
      </c>
      <c r="H13" s="16"/>
      <c r="I13" s="10"/>
    </row>
    <row r="14" spans="1:9">
      <c r="A14" s="10" t="str">
        <f>[Table Name]&amp;[Field Count]</f>
        <v>_ComptFraisFixe6</v>
      </c>
      <c r="B14" s="10" t="s">
        <v>287</v>
      </c>
      <c r="C14" s="10">
        <v>6</v>
      </c>
      <c r="D14" s="10" t="s">
        <v>302</v>
      </c>
      <c r="E14" s="10" t="s">
        <v>264</v>
      </c>
      <c r="F14" s="10">
        <v>8</v>
      </c>
      <c r="G14" s="10">
        <v>2</v>
      </c>
      <c r="H14" s="16"/>
      <c r="I14" s="10"/>
    </row>
    <row r="15" spans="1:9">
      <c r="A15" s="10" t="str">
        <f>[Table Name]&amp;[Field Count]</f>
        <v>_ComptMouvement1</v>
      </c>
      <c r="B15" s="10" t="s">
        <v>288</v>
      </c>
      <c r="C15" s="10">
        <v>1</v>
      </c>
      <c r="D15" s="10" t="s">
        <v>303</v>
      </c>
      <c r="E15" s="10" t="s">
        <v>261</v>
      </c>
      <c r="F15" s="10">
        <v>5</v>
      </c>
      <c r="G15" s="10"/>
      <c r="H15" s="16" t="s">
        <v>314</v>
      </c>
      <c r="I15" s="10" t="s">
        <v>315</v>
      </c>
    </row>
    <row r="16" spans="1:9">
      <c r="A16" s="10" t="str">
        <f>[Table Name]&amp;[Field Count]</f>
        <v>_ComptMouvement2</v>
      </c>
      <c r="B16" s="10" t="s">
        <v>288</v>
      </c>
      <c r="C16" s="10">
        <v>2</v>
      </c>
      <c r="D16" s="10" t="s">
        <v>298</v>
      </c>
      <c r="E16" s="10" t="s">
        <v>260</v>
      </c>
      <c r="F16" s="10">
        <v>3</v>
      </c>
      <c r="G16" s="10"/>
      <c r="H16" s="16"/>
      <c r="I16" s="10" t="s">
        <v>316</v>
      </c>
    </row>
    <row r="17" spans="1:9">
      <c r="A17" s="10" t="str">
        <f>[Table Name]&amp;[Field Count]</f>
        <v>_ComptMouvement3</v>
      </c>
      <c r="B17" s="10" t="s">
        <v>288</v>
      </c>
      <c r="C17" s="10">
        <v>3</v>
      </c>
      <c r="D17" s="10" t="s">
        <v>304</v>
      </c>
      <c r="E17" s="10" t="s">
        <v>260</v>
      </c>
      <c r="F17" s="10">
        <v>3</v>
      </c>
      <c r="G17" s="10"/>
      <c r="H17" s="16"/>
      <c r="I17" s="10" t="s">
        <v>316</v>
      </c>
    </row>
    <row r="18" spans="1:9">
      <c r="A18" s="10" t="str">
        <f>[Table Name]&amp;[Field Count]</f>
        <v>_ComptMouvement4</v>
      </c>
      <c r="B18" s="10" t="s">
        <v>288</v>
      </c>
      <c r="C18" s="10">
        <v>4</v>
      </c>
      <c r="D18" s="10" t="s">
        <v>305</v>
      </c>
      <c r="E18" s="10" t="s">
        <v>260</v>
      </c>
      <c r="F18" s="10">
        <v>3</v>
      </c>
      <c r="G18" s="10"/>
      <c r="H18" s="16"/>
      <c r="I18" s="10" t="s">
        <v>316</v>
      </c>
    </row>
    <row r="19" spans="1:9">
      <c r="A19" s="10" t="str">
        <f>[Table Name]&amp;[Field Count]</f>
        <v>_ComptMouvement5</v>
      </c>
      <c r="B19" s="10" t="s">
        <v>288</v>
      </c>
      <c r="C19" s="10">
        <v>5</v>
      </c>
      <c r="D19" s="10" t="s">
        <v>306</v>
      </c>
      <c r="E19" s="10" t="s">
        <v>262</v>
      </c>
      <c r="F19" s="10"/>
      <c r="G19" s="10"/>
      <c r="H19" s="16"/>
      <c r="I19" s="10"/>
    </row>
    <row r="20" spans="1:9">
      <c r="A20" s="10" t="str">
        <f>[Table Name]&amp;[Field Count]</f>
        <v>_ComptMouvement6</v>
      </c>
      <c r="B20" s="10" t="s">
        <v>288</v>
      </c>
      <c r="C20" s="10">
        <v>6</v>
      </c>
      <c r="D20" s="10" t="s">
        <v>299</v>
      </c>
      <c r="E20" s="10" t="s">
        <v>258</v>
      </c>
      <c r="F20" s="10">
        <v>30</v>
      </c>
      <c r="G20" s="10"/>
      <c r="H20" s="16"/>
      <c r="I20" s="10" t="s">
        <v>318</v>
      </c>
    </row>
    <row r="21" spans="1:9">
      <c r="A21" s="10" t="str">
        <f>[Table Name]&amp;[Field Count]</f>
        <v>_ComptMouvement7</v>
      </c>
      <c r="B21" s="10" t="s">
        <v>288</v>
      </c>
      <c r="C21" s="10">
        <v>7</v>
      </c>
      <c r="D21" s="10" t="s">
        <v>300</v>
      </c>
      <c r="E21" s="10" t="s">
        <v>258</v>
      </c>
      <c r="F21" s="10">
        <v>100</v>
      </c>
      <c r="G21" s="10"/>
      <c r="H21" s="16"/>
      <c r="I21" s="10" t="s">
        <v>318</v>
      </c>
    </row>
    <row r="22" spans="1:9">
      <c r="A22" s="10" t="str">
        <f>[Table Name]&amp;[Field Count]</f>
        <v>_ComptMouvement8</v>
      </c>
      <c r="B22" s="10" t="s">
        <v>288</v>
      </c>
      <c r="C22" s="10">
        <v>8</v>
      </c>
      <c r="D22" s="10" t="s">
        <v>301</v>
      </c>
      <c r="E22" s="10" t="s">
        <v>264</v>
      </c>
      <c r="F22" s="10">
        <v>8</v>
      </c>
      <c r="G22" s="10">
        <v>2</v>
      </c>
      <c r="H22" s="16"/>
      <c r="I22" s="10"/>
    </row>
    <row r="23" spans="1:9">
      <c r="A23" s="10" t="str">
        <f>[Table Name]&amp;[Field Count]</f>
        <v>_ComptMouvement9</v>
      </c>
      <c r="B23" s="10" t="s">
        <v>288</v>
      </c>
      <c r="C23" s="10">
        <v>9</v>
      </c>
      <c r="D23" s="10" t="s">
        <v>302</v>
      </c>
      <c r="E23" s="10" t="s">
        <v>264</v>
      </c>
      <c r="F23" s="10">
        <v>8</v>
      </c>
      <c r="G23" s="10">
        <v>2</v>
      </c>
      <c r="H23" s="16"/>
      <c r="I23" s="10"/>
    </row>
    <row r="24" spans="1:9">
      <c r="A24" s="10" t="str">
        <f>[Table Name]&amp;[Field Count]</f>
        <v>_ComptMouvement10</v>
      </c>
      <c r="B24" s="10" t="s">
        <v>288</v>
      </c>
      <c r="C24" s="10">
        <v>10</v>
      </c>
      <c r="D24" s="10" t="s">
        <v>307</v>
      </c>
      <c r="E24" s="10" t="s">
        <v>260</v>
      </c>
      <c r="F24" s="10">
        <v>1</v>
      </c>
      <c r="G24" s="10"/>
      <c r="H24" s="16"/>
      <c r="I24" s="10"/>
    </row>
    <row r="25" spans="1:9">
      <c r="A25" s="10" t="str">
        <f>[Table Name]&amp;[Field Count]</f>
        <v>_ComptPeriode1</v>
      </c>
      <c r="B25" s="10" t="s">
        <v>289</v>
      </c>
      <c r="C25" s="10">
        <v>1</v>
      </c>
      <c r="D25" s="10" t="s">
        <v>308</v>
      </c>
      <c r="E25" s="10" t="s">
        <v>260</v>
      </c>
      <c r="F25" s="10">
        <v>3</v>
      </c>
      <c r="G25" s="10"/>
      <c r="H25" s="16" t="s">
        <v>314</v>
      </c>
      <c r="I25" s="10" t="s">
        <v>315</v>
      </c>
    </row>
    <row r="26" spans="1:9">
      <c r="A26" s="10" t="str">
        <f>[Table Name]&amp;[Field Count]</f>
        <v>_ComptPeriode2</v>
      </c>
      <c r="B26" s="10" t="s">
        <v>289</v>
      </c>
      <c r="C26" s="10">
        <v>2</v>
      </c>
      <c r="D26" s="10" t="s">
        <v>309</v>
      </c>
      <c r="E26" s="10" t="s">
        <v>258</v>
      </c>
      <c r="F26" s="10">
        <v>25</v>
      </c>
      <c r="G26" s="10"/>
      <c r="H26" s="16"/>
      <c r="I26" s="10" t="s">
        <v>318</v>
      </c>
    </row>
    <row r="27" spans="1:9">
      <c r="A27" s="10" t="str">
        <f>[Table Name]&amp;[Field Count]</f>
        <v>_ComptSolde1</v>
      </c>
      <c r="B27" s="10" t="s">
        <v>290</v>
      </c>
      <c r="C27" s="10">
        <v>1</v>
      </c>
      <c r="D27" s="10" t="s">
        <v>310</v>
      </c>
      <c r="E27" s="10" t="s">
        <v>260</v>
      </c>
      <c r="F27" s="10">
        <v>3</v>
      </c>
      <c r="G27" s="10"/>
      <c r="H27" s="16" t="s">
        <v>314</v>
      </c>
      <c r="I27" s="10" t="s">
        <v>315</v>
      </c>
    </row>
    <row r="28" spans="1:9">
      <c r="A28" s="10" t="str">
        <f>[Table Name]&amp;[Field Count]</f>
        <v>_ComptSolde2</v>
      </c>
      <c r="B28" s="10" t="s">
        <v>290</v>
      </c>
      <c r="C28" s="10">
        <v>2</v>
      </c>
      <c r="D28" s="10" t="s">
        <v>298</v>
      </c>
      <c r="E28" s="10" t="s">
        <v>260</v>
      </c>
      <c r="F28" s="10">
        <v>3</v>
      </c>
      <c r="G28" s="10"/>
      <c r="H28" s="16"/>
      <c r="I28" s="10" t="s">
        <v>316</v>
      </c>
    </row>
    <row r="29" spans="1:9">
      <c r="A29" s="10" t="str">
        <f>[Table Name]&amp;[Field Count]</f>
        <v>_ComptSolde3</v>
      </c>
      <c r="B29" s="10" t="s">
        <v>290</v>
      </c>
      <c r="C29" s="10">
        <v>3</v>
      </c>
      <c r="D29" s="10" t="s">
        <v>304</v>
      </c>
      <c r="E29" s="10" t="s">
        <v>260</v>
      </c>
      <c r="F29" s="10">
        <v>3</v>
      </c>
      <c r="G29" s="10"/>
      <c r="H29" s="16"/>
      <c r="I29" s="10" t="s">
        <v>316</v>
      </c>
    </row>
    <row r="30" spans="1:9">
      <c r="A30" s="10" t="str">
        <f>[Table Name]&amp;[Field Count]</f>
        <v>_ComptSolde4</v>
      </c>
      <c r="B30" s="10" t="s">
        <v>290</v>
      </c>
      <c r="C30" s="10">
        <v>4</v>
      </c>
      <c r="D30" s="10" t="s">
        <v>311</v>
      </c>
      <c r="E30" s="10" t="s">
        <v>264</v>
      </c>
      <c r="F30" s="10">
        <v>8</v>
      </c>
      <c r="G30" s="10">
        <v>2</v>
      </c>
      <c r="H30" s="16"/>
      <c r="I30" s="10"/>
    </row>
  </sheetData>
  <dataValidations count="4">
    <dataValidation type="list" errorStyle="information" allowBlank="1" showInputMessage="1" showErrorMessage="1" error="Define the table first" sqref="B2:B30">
      <formula1>List_SqlTables</formula1>
    </dataValidation>
    <dataValidation type="whole" operator="greaterThanOrEqual" allowBlank="1" showInputMessage="1" showErrorMessage="1" error="Integer only" sqref="C2:C30">
      <formula1>0</formula1>
    </dataValidation>
    <dataValidation type="list" errorStyle="information" allowBlank="1" showInputMessage="1" showErrorMessage="1" sqref="E2:E30">
      <formula1>List_SqlFieldTypes</formula1>
    </dataValidation>
    <dataValidation type="list" allowBlank="1" showInputMessage="1" showErrorMessage="1" sqref="H2:H30">
      <formula1>"X"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8">
    <tabColor theme="9" tint="0.39997558519241921"/>
  </sheetPr>
  <dimension ref="A1:B7"/>
  <sheetViews>
    <sheetView workbookViewId="0"/>
  </sheetViews>
  <sheetFormatPr baseColWidth="10" defaultRowHeight="15"/>
  <cols>
    <col min="1" max="1" width="15.28515625" bestFit="1" customWidth="1"/>
    <col min="2" max="2" width="38.5703125" customWidth="1"/>
  </cols>
  <sheetData>
    <row r="1" spans="1:2">
      <c r="A1" s="15" t="s">
        <v>0</v>
      </c>
      <c r="B1" s="15" t="s">
        <v>8</v>
      </c>
    </row>
    <row r="2" spans="1:2">
      <c r="A2" s="10" t="s">
        <v>285</v>
      </c>
      <c r="B2" s="10"/>
    </row>
    <row r="3" spans="1:2">
      <c r="A3" s="10" t="s">
        <v>286</v>
      </c>
      <c r="B3" s="10"/>
    </row>
    <row r="4" spans="1:2">
      <c r="A4" s="10" t="s">
        <v>287</v>
      </c>
      <c r="B4" s="10"/>
    </row>
    <row r="5" spans="1:2">
      <c r="A5" s="10" t="s">
        <v>288</v>
      </c>
      <c r="B5" s="10"/>
    </row>
    <row r="6" spans="1:2">
      <c r="A6" s="10" t="s">
        <v>289</v>
      </c>
      <c r="B6" s="10"/>
    </row>
    <row r="7" spans="1:2">
      <c r="A7" s="10" t="s">
        <v>290</v>
      </c>
      <c r="B7" s="10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9">
    <tabColor theme="9" tint="0.59999389629810485"/>
  </sheetPr>
  <dimension ref="A1:L122"/>
  <sheetViews>
    <sheetView workbookViewId="0">
      <pane ySplit="2" topLeftCell="A3" activePane="bottomLeft" state="frozen"/>
      <selection activeCell="D6" sqref="D6"/>
      <selection pane="bottomLeft" activeCell="B3" sqref="B3:H25"/>
    </sheetView>
  </sheetViews>
  <sheetFormatPr baseColWidth="10" defaultRowHeight="15"/>
  <cols>
    <col min="1" max="1" width="16" customWidth="1"/>
    <col min="2" max="2" width="15.7109375" bestFit="1" customWidth="1"/>
    <col min="3" max="3" width="17.28515625" bestFit="1" customWidth="1"/>
    <col min="4" max="4" width="19.5703125" bestFit="1" customWidth="1"/>
  </cols>
  <sheetData>
    <row r="1" spans="1:12">
      <c r="A1" s="9" t="s">
        <v>14</v>
      </c>
      <c r="B1" s="8" t="str">
        <f t="array" ref="B1:L1">TRANSPOSE('SQL Tables Name'!$A$2:$A$7)</f>
        <v>_ComptAnnee</v>
      </c>
      <c r="C1" s="8" t="str">
        <v>_ComptCompte</v>
      </c>
      <c r="D1" s="8" t="str">
        <v>_ComptFraisFixe</v>
      </c>
      <c r="E1" s="8" t="str">
        <v>_ComptMouvement</v>
      </c>
      <c r="F1" s="8" t="str">
        <v>_ComptPeriode</v>
      </c>
      <c r="G1" s="8" t="str">
        <v>_ComptSolde</v>
      </c>
      <c r="H1" s="8" t="e">
        <v>#N/A</v>
      </c>
      <c r="I1" s="8" t="e">
        <v>#N/A</v>
      </c>
      <c r="J1" s="8" t="e">
        <v>#N/A</v>
      </c>
      <c r="K1" s="8" t="e">
        <v>#N/A</v>
      </c>
      <c r="L1" s="8" t="e">
        <v>#N/A</v>
      </c>
    </row>
    <row r="2" spans="1:12">
      <c r="A2" s="9" t="s">
        <v>15</v>
      </c>
      <c r="B2" s="8">
        <f t="array" ref="B2:L2" ca="1">COUNTA(INDIRECT("'" &amp; B1:L1 &amp; "'!C:C"))-2</f>
        <v>0</v>
      </c>
      <c r="C2" s="8">
        <f ca="1"/>
        <v>0</v>
      </c>
      <c r="D2" s="8">
        <f ca="1"/>
        <v>0</v>
      </c>
      <c r="E2" s="8">
        <f ca="1"/>
        <v>0</v>
      </c>
      <c r="F2" s="8">
        <f ca="1"/>
        <v>0</v>
      </c>
      <c r="G2" s="8">
        <f ca="1"/>
        <v>0</v>
      </c>
      <c r="H2" s="8">
        <f ca="1"/>
        <v>-1</v>
      </c>
      <c r="I2" s="8">
        <f ca="1"/>
        <v>-1</v>
      </c>
      <c r="J2" s="8">
        <f ca="1"/>
        <v>-1</v>
      </c>
      <c r="K2" s="8">
        <f ca="1"/>
        <v>-1</v>
      </c>
      <c r="L2" s="8">
        <f ca="1"/>
        <v>-1</v>
      </c>
    </row>
    <row r="3" spans="1:12">
      <c r="A3" s="9" t="s">
        <v>16</v>
      </c>
      <c r="B3" s="7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2">
      <c r="A4" s="9" t="s">
        <v>17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>
      <c r="A5" s="9" t="s">
        <v>18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>
      <c r="A6" s="9" t="s">
        <v>19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>
      <c r="A7" s="9" t="s">
        <v>20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>
      <c r="A8" s="9" t="s">
        <v>21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>
      <c r="A9" s="9" t="s">
        <v>22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>
      <c r="A10" s="9" t="s">
        <v>23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>
      <c r="A11" s="9" t="s">
        <v>24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>
      <c r="A12" s="9" t="s">
        <v>25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>
      <c r="A13" s="9" t="s">
        <v>26</v>
      </c>
      <c r="B13" s="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>
      <c r="A14" s="9" t="s">
        <v>27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>
      <c r="A15" s="9" t="s">
        <v>28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>
      <c r="A16" s="9" t="s">
        <v>29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>
      <c r="A17" s="9" t="s">
        <v>30</v>
      </c>
      <c r="B17" s="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>
      <c r="A18" s="9" t="s">
        <v>31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>
      <c r="A19" s="9" t="s">
        <v>32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>
      <c r="A20" s="9" t="s">
        <v>33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>
      <c r="A21" s="9" t="s">
        <v>34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>
      <c r="A22" s="9" t="s">
        <v>35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>
      <c r="A23" s="9" t="s">
        <v>36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>
      <c r="A24" s="9" t="s">
        <v>37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>
      <c r="A25" s="9" t="s">
        <v>38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>
      <c r="A26" s="9" t="s">
        <v>39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>
      <c r="A27" s="9" t="s">
        <v>40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>
      <c r="A28" s="9" t="s">
        <v>41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>
      <c r="A29" s="9" t="s">
        <v>42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>
      <c r="A30" s="9" t="s">
        <v>43</v>
      </c>
      <c r="B30" s="7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>
      <c r="A31" s="9" t="s">
        <v>44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>
      <c r="A32" s="9" t="s">
        <v>45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>
      <c r="A33" s="9" t="s">
        <v>46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1:12">
      <c r="A34" s="9" t="s">
        <v>47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>
      <c r="A35" s="9" t="s">
        <v>48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2">
      <c r="A36" s="9" t="s">
        <v>49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</row>
    <row r="37" spans="1:12">
      <c r="A37" s="9" t="s">
        <v>50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</row>
    <row r="38" spans="1:12">
      <c r="A38" s="9" t="s">
        <v>51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</row>
    <row r="39" spans="1:12">
      <c r="A39" s="9" t="s">
        <v>52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40" spans="1:12">
      <c r="A40" s="9" t="s">
        <v>53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</row>
    <row r="41" spans="1:12">
      <c r="A41" s="9" t="s">
        <v>54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>
      <c r="A42" s="9" t="s">
        <v>55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</row>
    <row r="43" spans="1:12">
      <c r="A43" s="9" t="s">
        <v>56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</row>
    <row r="44" spans="1:12">
      <c r="A44" s="9" t="s">
        <v>57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</row>
    <row r="45" spans="1:12">
      <c r="A45" s="9" t="s">
        <v>58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>
      <c r="A46" s="9" t="s">
        <v>59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</row>
    <row r="47" spans="1:12">
      <c r="A47" s="9" t="s">
        <v>60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</row>
    <row r="48" spans="1:12">
      <c r="A48" s="9" t="s">
        <v>61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</row>
    <row r="49" spans="1:12">
      <c r="A49" s="9" t="s">
        <v>62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</row>
    <row r="50" spans="1:12">
      <c r="A50" s="9" t="s">
        <v>63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</row>
    <row r="51" spans="1:12">
      <c r="A51" s="9" t="s">
        <v>64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</row>
    <row r="52" spans="1:12">
      <c r="A52" s="9" t="s">
        <v>65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</row>
    <row r="53" spans="1:12">
      <c r="A53" s="9" t="s">
        <v>66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</row>
    <row r="54" spans="1:12">
      <c r="A54" s="9" t="s">
        <v>67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</row>
    <row r="55" spans="1:12">
      <c r="A55" s="9" t="s">
        <v>68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</row>
    <row r="56" spans="1:12">
      <c r="A56" s="9" t="s">
        <v>69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</row>
    <row r="57" spans="1:12">
      <c r="A57" s="9" t="s">
        <v>70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>
      <c r="A58" s="9" t="s">
        <v>71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</row>
    <row r="59" spans="1:12">
      <c r="A59" s="9" t="s">
        <v>72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</row>
    <row r="60" spans="1:12">
      <c r="A60" s="9" t="s">
        <v>73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</row>
    <row r="61" spans="1:12">
      <c r="A61" s="9" t="s">
        <v>74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</row>
    <row r="62" spans="1:12">
      <c r="A62" s="9" t="s">
        <v>75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</row>
    <row r="63" spans="1:12">
      <c r="A63" s="9" t="s">
        <v>76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</row>
    <row r="64" spans="1:12">
      <c r="A64" s="9" t="s">
        <v>77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</row>
    <row r="65" spans="1:12">
      <c r="A65" s="9" t="s">
        <v>78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</row>
    <row r="66" spans="1:12">
      <c r="A66" s="9" t="s">
        <v>79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</row>
    <row r="67" spans="1:12">
      <c r="A67" s="9" t="s">
        <v>80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>
      <c r="A68" s="9" t="s">
        <v>81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>
      <c r="A69" s="9" t="s">
        <v>82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</row>
    <row r="70" spans="1:12">
      <c r="A70" s="9" t="s">
        <v>83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</row>
    <row r="71" spans="1:12">
      <c r="A71" s="9" t="s">
        <v>84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</row>
    <row r="72" spans="1:12">
      <c r="A72" s="9" t="s">
        <v>85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</row>
    <row r="73" spans="1:12">
      <c r="A73" s="9" t="s">
        <v>86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</row>
    <row r="74" spans="1:12">
      <c r="A74" s="9" t="s">
        <v>87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</row>
    <row r="75" spans="1:12">
      <c r="A75" s="9" t="s">
        <v>88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</row>
    <row r="76" spans="1:12">
      <c r="A76" s="9" t="s">
        <v>89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</row>
    <row r="77" spans="1:12">
      <c r="A77" s="9" t="s">
        <v>90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</row>
    <row r="78" spans="1:12">
      <c r="A78" s="9" t="s">
        <v>91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</row>
    <row r="79" spans="1:12">
      <c r="A79" s="9" t="s">
        <v>92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</row>
    <row r="80" spans="1:12">
      <c r="A80" s="9" t="s">
        <v>93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</row>
    <row r="81" spans="1:12">
      <c r="A81" s="9" t="s">
        <v>94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</row>
    <row r="82" spans="1:12">
      <c r="A82" s="9" t="s">
        <v>95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</row>
    <row r="83" spans="1:12">
      <c r="A83" s="9" t="s">
        <v>96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</row>
    <row r="84" spans="1:12">
      <c r="A84" s="9" t="s">
        <v>97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</row>
    <row r="85" spans="1:12">
      <c r="A85" s="9" t="s">
        <v>98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</row>
    <row r="86" spans="1:12">
      <c r="A86" s="9" t="s">
        <v>99</v>
      </c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</row>
    <row r="87" spans="1:12">
      <c r="A87" s="9" t="s">
        <v>100</v>
      </c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</row>
    <row r="88" spans="1:12">
      <c r="A88" s="9" t="s">
        <v>101</v>
      </c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</row>
    <row r="89" spans="1:12">
      <c r="A89" s="9" t="s">
        <v>102</v>
      </c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</row>
    <row r="90" spans="1:12">
      <c r="A90" s="9" t="s">
        <v>103</v>
      </c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2">
      <c r="A91" s="9" t="s">
        <v>104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2">
      <c r="A92" s="9" t="s">
        <v>105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</row>
    <row r="93" spans="1:12">
      <c r="A93" s="9" t="s">
        <v>106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</row>
    <row r="94" spans="1:12">
      <c r="A94" s="9" t="s">
        <v>107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</row>
    <row r="95" spans="1:12">
      <c r="A95" s="9" t="s">
        <v>108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</row>
    <row r="96" spans="1:12">
      <c r="A96" s="9" t="s">
        <v>109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</row>
    <row r="97" spans="1:12">
      <c r="A97" s="9" t="s">
        <v>110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</row>
    <row r="98" spans="1:12">
      <c r="A98" s="9" t="s">
        <v>111</v>
      </c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</row>
    <row r="99" spans="1:12">
      <c r="A99" s="9" t="s">
        <v>112</v>
      </c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</row>
    <row r="100" spans="1:12">
      <c r="A100" s="9" t="s">
        <v>113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</row>
    <row r="101" spans="1:12">
      <c r="A101" s="9" t="s">
        <v>114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</row>
    <row r="102" spans="1:12">
      <c r="A102" s="9" t="s">
        <v>115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</row>
    <row r="103" spans="1:12">
      <c r="A103" s="9" t="s">
        <v>116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</row>
    <row r="104" spans="1:12">
      <c r="A104" s="9" t="s">
        <v>117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</row>
    <row r="105" spans="1:12">
      <c r="A105" s="9" t="s">
        <v>118</v>
      </c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</row>
    <row r="106" spans="1:12">
      <c r="A106" s="9" t="s">
        <v>119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</row>
    <row r="107" spans="1:12">
      <c r="A107" s="9" t="s">
        <v>120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</row>
    <row r="108" spans="1:12">
      <c r="A108" s="9" t="s">
        <v>121</v>
      </c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</row>
    <row r="109" spans="1:12">
      <c r="A109" s="9" t="s">
        <v>122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</row>
    <row r="110" spans="1:12">
      <c r="A110" s="9" t="s">
        <v>123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</row>
    <row r="111" spans="1:12">
      <c r="A111" s="9" t="s">
        <v>124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</row>
    <row r="112" spans="1:12">
      <c r="A112" s="9" t="s">
        <v>125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</row>
    <row r="113" spans="1:12">
      <c r="A113" s="9" t="s">
        <v>126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</row>
    <row r="114" spans="1:12">
      <c r="A114" s="9" t="s">
        <v>127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</row>
    <row r="115" spans="1:12">
      <c r="A115" s="9" t="s">
        <v>128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</row>
    <row r="116" spans="1:12">
      <c r="A116" s="9" t="s">
        <v>129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</row>
    <row r="117" spans="1:12">
      <c r="A117" s="9" t="s">
        <v>130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</row>
    <row r="118" spans="1:12">
      <c r="A118" s="9" t="s">
        <v>131</v>
      </c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</row>
    <row r="119" spans="1:12">
      <c r="A119" s="9" t="s">
        <v>132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</row>
    <row r="120" spans="1:12">
      <c r="A120" s="9" t="s">
        <v>133</v>
      </c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</row>
    <row r="121" spans="1:12">
      <c r="A121" s="9" t="s">
        <v>134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</row>
    <row r="122" spans="1:12">
      <c r="A122" s="9" t="s">
        <v>135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0">
    <tabColor theme="9" tint="0.59999389629810485"/>
  </sheetPr>
  <dimension ref="A1:B121"/>
  <sheetViews>
    <sheetView workbookViewId="0">
      <pane ySplit="1" topLeftCell="A2" activePane="bottomLeft" state="frozen"/>
      <selection activeCell="D6" sqref="D6"/>
      <selection pane="bottomLeft" activeCell="B2" sqref="B2:B5"/>
    </sheetView>
  </sheetViews>
  <sheetFormatPr baseColWidth="10" defaultRowHeight="15"/>
  <cols>
    <col min="1" max="1" width="16" customWidth="1"/>
    <col min="2" max="2" width="112.140625" customWidth="1"/>
  </cols>
  <sheetData>
    <row r="1" spans="1:2">
      <c r="A1" s="9" t="s">
        <v>15</v>
      </c>
      <c r="B1" s="8"/>
    </row>
    <row r="2" spans="1:2">
      <c r="A2" s="9" t="s">
        <v>137</v>
      </c>
      <c r="B2" s="7" t="s">
        <v>320</v>
      </c>
    </row>
    <row r="3" spans="1:2">
      <c r="A3" s="9" t="s">
        <v>138</v>
      </c>
      <c r="B3" s="2" t="s">
        <v>321</v>
      </c>
    </row>
    <row r="4" spans="1:2">
      <c r="A4" s="9" t="s">
        <v>139</v>
      </c>
      <c r="B4" s="2" t="s">
        <v>322</v>
      </c>
    </row>
    <row r="5" spans="1:2">
      <c r="A5" s="9" t="s">
        <v>140</v>
      </c>
      <c r="B5" s="2" t="s">
        <v>323</v>
      </c>
    </row>
    <row r="6" spans="1:2">
      <c r="A6" s="9" t="s">
        <v>141</v>
      </c>
      <c r="B6" s="2"/>
    </row>
    <row r="7" spans="1:2">
      <c r="A7" s="9" t="s">
        <v>142</v>
      </c>
      <c r="B7" s="2" t="s">
        <v>324</v>
      </c>
    </row>
    <row r="8" spans="1:2">
      <c r="A8" s="9" t="s">
        <v>143</v>
      </c>
      <c r="B8" s="2" t="s">
        <v>325</v>
      </c>
    </row>
    <row r="9" spans="1:2">
      <c r="A9" s="9" t="s">
        <v>144</v>
      </c>
      <c r="B9" s="2" t="s">
        <v>326</v>
      </c>
    </row>
    <row r="10" spans="1:2">
      <c r="A10" s="9" t="s">
        <v>145</v>
      </c>
      <c r="B10" s="2" t="s">
        <v>353</v>
      </c>
    </row>
    <row r="11" spans="1:2">
      <c r="A11" s="9" t="s">
        <v>146</v>
      </c>
      <c r="B11" s="2" t="s">
        <v>327</v>
      </c>
    </row>
    <row r="12" spans="1:2">
      <c r="A12" s="9" t="s">
        <v>147</v>
      </c>
      <c r="B12" s="7" t="s">
        <v>355</v>
      </c>
    </row>
    <row r="13" spans="1:2">
      <c r="A13" s="9" t="s">
        <v>148</v>
      </c>
      <c r="B13" s="2" t="s">
        <v>328</v>
      </c>
    </row>
    <row r="14" spans="1:2">
      <c r="A14" s="9" t="s">
        <v>149</v>
      </c>
      <c r="B14" s="2"/>
    </row>
    <row r="15" spans="1:2">
      <c r="A15" s="9" t="s">
        <v>150</v>
      </c>
      <c r="B15" s="2" t="s">
        <v>329</v>
      </c>
    </row>
    <row r="16" spans="1:2">
      <c r="A16" s="9" t="s">
        <v>151</v>
      </c>
      <c r="B16" s="7" t="s">
        <v>330</v>
      </c>
    </row>
    <row r="17" spans="1:2">
      <c r="A17" s="9" t="s">
        <v>152</v>
      </c>
      <c r="B17" s="2" t="s">
        <v>331</v>
      </c>
    </row>
    <row r="18" spans="1:2">
      <c r="A18" s="9" t="s">
        <v>153</v>
      </c>
      <c r="B18" s="2" t="s">
        <v>332</v>
      </c>
    </row>
    <row r="19" spans="1:2">
      <c r="A19" s="9" t="s">
        <v>154</v>
      </c>
      <c r="B19" s="2" t="s">
        <v>333</v>
      </c>
    </row>
    <row r="20" spans="1:2">
      <c r="A20" s="9" t="s">
        <v>155</v>
      </c>
      <c r="B20" s="2" t="s">
        <v>334</v>
      </c>
    </row>
    <row r="21" spans="1:2">
      <c r="A21" s="9" t="s">
        <v>156</v>
      </c>
      <c r="B21" s="2" t="s">
        <v>335</v>
      </c>
    </row>
    <row r="22" spans="1:2">
      <c r="A22" s="9" t="s">
        <v>157</v>
      </c>
      <c r="B22" s="2" t="s">
        <v>337</v>
      </c>
    </row>
    <row r="23" spans="1:2">
      <c r="A23" s="9" t="s">
        <v>158</v>
      </c>
      <c r="B23" s="2"/>
    </row>
    <row r="24" spans="1:2">
      <c r="A24" s="9" t="s">
        <v>159</v>
      </c>
      <c r="B24" s="2" t="s">
        <v>338</v>
      </c>
    </row>
    <row r="25" spans="1:2">
      <c r="A25" s="9" t="s">
        <v>160</v>
      </c>
      <c r="B25" s="2" t="s">
        <v>339</v>
      </c>
    </row>
    <row r="26" spans="1:2">
      <c r="A26" s="9" t="s">
        <v>161</v>
      </c>
      <c r="B26" s="2" t="s">
        <v>340</v>
      </c>
    </row>
    <row r="27" spans="1:2">
      <c r="A27" s="9" t="s">
        <v>162</v>
      </c>
      <c r="B27" s="2" t="s">
        <v>332</v>
      </c>
    </row>
    <row r="28" spans="1:2">
      <c r="A28" s="9" t="s">
        <v>163</v>
      </c>
      <c r="B28" s="2" t="s">
        <v>341</v>
      </c>
    </row>
    <row r="29" spans="1:2">
      <c r="A29" s="9" t="s">
        <v>164</v>
      </c>
      <c r="B29" s="7" t="s">
        <v>342</v>
      </c>
    </row>
    <row r="30" spans="1:2">
      <c r="A30" s="9" t="s">
        <v>165</v>
      </c>
      <c r="B30" s="2" t="s">
        <v>343</v>
      </c>
    </row>
    <row r="31" spans="1:2">
      <c r="A31" s="9" t="s">
        <v>166</v>
      </c>
      <c r="B31" s="2" t="s">
        <v>333</v>
      </c>
    </row>
    <row r="32" spans="1:2">
      <c r="A32" s="9" t="s">
        <v>167</v>
      </c>
      <c r="B32" s="2" t="s">
        <v>334</v>
      </c>
    </row>
    <row r="33" spans="1:2">
      <c r="A33" s="9" t="s">
        <v>168</v>
      </c>
      <c r="B33" s="2" t="s">
        <v>335</v>
      </c>
    </row>
    <row r="34" spans="1:2">
      <c r="A34" s="9" t="s">
        <v>169</v>
      </c>
      <c r="B34" s="2" t="s">
        <v>336</v>
      </c>
    </row>
    <row r="35" spans="1:2">
      <c r="A35" s="9" t="s">
        <v>170</v>
      </c>
      <c r="B35" s="2" t="s">
        <v>344</v>
      </c>
    </row>
    <row r="36" spans="1:2">
      <c r="A36" s="9" t="s">
        <v>171</v>
      </c>
      <c r="B36" s="2"/>
    </row>
    <row r="37" spans="1:2">
      <c r="A37" s="9" t="s">
        <v>172</v>
      </c>
      <c r="B37" s="2" t="s">
        <v>345</v>
      </c>
    </row>
    <row r="38" spans="1:2">
      <c r="A38" s="9" t="s">
        <v>173</v>
      </c>
      <c r="B38" s="2" t="s">
        <v>346</v>
      </c>
    </row>
    <row r="39" spans="1:2">
      <c r="A39" s="9" t="s">
        <v>174</v>
      </c>
      <c r="B39" s="2" t="s">
        <v>347</v>
      </c>
    </row>
    <row r="40" spans="1:2">
      <c r="A40" s="9" t="s">
        <v>175</v>
      </c>
      <c r="B40" s="2" t="s">
        <v>348</v>
      </c>
    </row>
    <row r="41" spans="1:2">
      <c r="A41" s="9" t="s">
        <v>176</v>
      </c>
      <c r="B41" s="2"/>
    </row>
    <row r="42" spans="1:2">
      <c r="A42" s="9" t="s">
        <v>177</v>
      </c>
      <c r="B42" s="2" t="s">
        <v>349</v>
      </c>
    </row>
    <row r="43" spans="1:2">
      <c r="A43" s="9" t="s">
        <v>178</v>
      </c>
      <c r="B43" s="2" t="s">
        <v>350</v>
      </c>
    </row>
    <row r="44" spans="1:2">
      <c r="A44" s="9" t="s">
        <v>179</v>
      </c>
      <c r="B44" s="2" t="s">
        <v>351</v>
      </c>
    </row>
    <row r="45" spans="1:2">
      <c r="A45" s="9" t="s">
        <v>180</v>
      </c>
      <c r="B45" s="2" t="s">
        <v>332</v>
      </c>
    </row>
    <row r="46" spans="1:2">
      <c r="A46" s="9" t="s">
        <v>181</v>
      </c>
      <c r="B46" s="2" t="s">
        <v>341</v>
      </c>
    </row>
    <row r="47" spans="1:2">
      <c r="A47" s="9" t="s">
        <v>182</v>
      </c>
      <c r="B47" s="2" t="s">
        <v>352</v>
      </c>
    </row>
    <row r="48" spans="1:2">
      <c r="A48" s="9" t="s">
        <v>183</v>
      </c>
      <c r="B48" s="2"/>
    </row>
    <row r="49" spans="1:2">
      <c r="A49" s="9" t="s">
        <v>184</v>
      </c>
      <c r="B49" s="2"/>
    </row>
    <row r="50" spans="1:2">
      <c r="A50" s="9" t="s">
        <v>185</v>
      </c>
      <c r="B50" s="2"/>
    </row>
    <row r="51" spans="1:2">
      <c r="A51" s="9" t="s">
        <v>186</v>
      </c>
      <c r="B51" s="2"/>
    </row>
    <row r="52" spans="1:2">
      <c r="A52" s="9" t="s">
        <v>187</v>
      </c>
      <c r="B52" s="2"/>
    </row>
    <row r="53" spans="1:2">
      <c r="A53" s="9" t="s">
        <v>188</v>
      </c>
      <c r="B53" s="2"/>
    </row>
    <row r="54" spans="1:2">
      <c r="A54" s="9" t="s">
        <v>189</v>
      </c>
      <c r="B54" s="2"/>
    </row>
    <row r="55" spans="1:2">
      <c r="A55" s="9" t="s">
        <v>190</v>
      </c>
      <c r="B55" s="2"/>
    </row>
    <row r="56" spans="1:2">
      <c r="A56" s="9" t="s">
        <v>191</v>
      </c>
      <c r="B56" s="2"/>
    </row>
    <row r="57" spans="1:2">
      <c r="A57" s="9" t="s">
        <v>192</v>
      </c>
      <c r="B57" s="2"/>
    </row>
    <row r="58" spans="1:2">
      <c r="A58" s="9" t="s">
        <v>193</v>
      </c>
      <c r="B58" s="2"/>
    </row>
    <row r="59" spans="1:2">
      <c r="A59" s="9" t="s">
        <v>194</v>
      </c>
      <c r="B59" s="2"/>
    </row>
    <row r="60" spans="1:2">
      <c r="A60" s="9" t="s">
        <v>195</v>
      </c>
      <c r="B60" s="2"/>
    </row>
    <row r="61" spans="1:2">
      <c r="A61" s="9" t="s">
        <v>196</v>
      </c>
      <c r="B61" s="2"/>
    </row>
    <row r="62" spans="1:2">
      <c r="A62" s="9" t="s">
        <v>197</v>
      </c>
      <c r="B62" s="2"/>
    </row>
    <row r="63" spans="1:2">
      <c r="A63" s="9" t="s">
        <v>198</v>
      </c>
      <c r="B63" s="2"/>
    </row>
    <row r="64" spans="1:2">
      <c r="A64" s="9" t="s">
        <v>199</v>
      </c>
      <c r="B64" s="2"/>
    </row>
    <row r="65" spans="1:2">
      <c r="A65" s="9" t="s">
        <v>200</v>
      </c>
      <c r="B65" s="2"/>
    </row>
    <row r="66" spans="1:2">
      <c r="A66" s="9" t="s">
        <v>201</v>
      </c>
      <c r="B66" s="2"/>
    </row>
    <row r="67" spans="1:2">
      <c r="A67" s="9" t="s">
        <v>202</v>
      </c>
      <c r="B67" s="2"/>
    </row>
    <row r="68" spans="1:2">
      <c r="A68" s="9" t="s">
        <v>203</v>
      </c>
      <c r="B68" s="2"/>
    </row>
    <row r="69" spans="1:2">
      <c r="A69" s="9" t="s">
        <v>204</v>
      </c>
      <c r="B69" s="2"/>
    </row>
    <row r="70" spans="1:2">
      <c r="A70" s="9" t="s">
        <v>205</v>
      </c>
      <c r="B70" s="2"/>
    </row>
    <row r="71" spans="1:2">
      <c r="A71" s="9" t="s">
        <v>206</v>
      </c>
      <c r="B71" s="2"/>
    </row>
    <row r="72" spans="1:2">
      <c r="A72" s="9" t="s">
        <v>207</v>
      </c>
      <c r="B72" s="2"/>
    </row>
    <row r="73" spans="1:2">
      <c r="A73" s="9" t="s">
        <v>208</v>
      </c>
      <c r="B73" s="2"/>
    </row>
    <row r="74" spans="1:2">
      <c r="A74" s="9" t="s">
        <v>209</v>
      </c>
      <c r="B74" s="2"/>
    </row>
    <row r="75" spans="1:2">
      <c r="A75" s="9" t="s">
        <v>210</v>
      </c>
      <c r="B75" s="2"/>
    </row>
    <row r="76" spans="1:2">
      <c r="A76" s="9" t="s">
        <v>211</v>
      </c>
      <c r="B76" s="2"/>
    </row>
    <row r="77" spans="1:2">
      <c r="A77" s="9" t="s">
        <v>212</v>
      </c>
      <c r="B77" s="2"/>
    </row>
    <row r="78" spans="1:2">
      <c r="A78" s="9" t="s">
        <v>213</v>
      </c>
      <c r="B78" s="2"/>
    </row>
    <row r="79" spans="1:2">
      <c r="A79" s="9" t="s">
        <v>214</v>
      </c>
      <c r="B79" s="2"/>
    </row>
    <row r="80" spans="1:2">
      <c r="A80" s="9" t="s">
        <v>215</v>
      </c>
      <c r="B80" s="2"/>
    </row>
    <row r="81" spans="1:2">
      <c r="A81" s="9" t="s">
        <v>216</v>
      </c>
      <c r="B81" s="2"/>
    </row>
    <row r="82" spans="1:2">
      <c r="A82" s="9" t="s">
        <v>217</v>
      </c>
      <c r="B82" s="2"/>
    </row>
    <row r="83" spans="1:2">
      <c r="A83" s="9" t="s">
        <v>218</v>
      </c>
      <c r="B83" s="2"/>
    </row>
    <row r="84" spans="1:2">
      <c r="A84" s="9" t="s">
        <v>219</v>
      </c>
      <c r="B84" s="2"/>
    </row>
    <row r="85" spans="1:2">
      <c r="A85" s="9" t="s">
        <v>220</v>
      </c>
      <c r="B85" s="2"/>
    </row>
    <row r="86" spans="1:2">
      <c r="A86" s="9" t="s">
        <v>221</v>
      </c>
      <c r="B86" s="2"/>
    </row>
    <row r="87" spans="1:2">
      <c r="A87" s="9" t="s">
        <v>222</v>
      </c>
      <c r="B87" s="2"/>
    </row>
    <row r="88" spans="1:2">
      <c r="A88" s="9" t="s">
        <v>223</v>
      </c>
      <c r="B88" s="2"/>
    </row>
    <row r="89" spans="1:2">
      <c r="A89" s="9" t="s">
        <v>224</v>
      </c>
      <c r="B89" s="2"/>
    </row>
    <row r="90" spans="1:2">
      <c r="A90" s="9" t="s">
        <v>225</v>
      </c>
      <c r="B90" s="2"/>
    </row>
    <row r="91" spans="1:2">
      <c r="A91" s="9" t="s">
        <v>226</v>
      </c>
      <c r="B91" s="2"/>
    </row>
    <row r="92" spans="1:2">
      <c r="A92" s="9" t="s">
        <v>227</v>
      </c>
      <c r="B92" s="2"/>
    </row>
    <row r="93" spans="1:2">
      <c r="A93" s="9" t="s">
        <v>228</v>
      </c>
      <c r="B93" s="2"/>
    </row>
    <row r="94" spans="1:2">
      <c r="A94" s="9" t="s">
        <v>229</v>
      </c>
      <c r="B94" s="2"/>
    </row>
    <row r="95" spans="1:2">
      <c r="A95" s="9" t="s">
        <v>230</v>
      </c>
      <c r="B95" s="2"/>
    </row>
    <row r="96" spans="1:2">
      <c r="A96" s="9" t="s">
        <v>231</v>
      </c>
      <c r="B96" s="2"/>
    </row>
    <row r="97" spans="1:2">
      <c r="A97" s="9" t="s">
        <v>232</v>
      </c>
      <c r="B97" s="2"/>
    </row>
    <row r="98" spans="1:2">
      <c r="A98" s="9" t="s">
        <v>233</v>
      </c>
      <c r="B98" s="2"/>
    </row>
    <row r="99" spans="1:2">
      <c r="A99" s="9" t="s">
        <v>234</v>
      </c>
      <c r="B99" s="2"/>
    </row>
    <row r="100" spans="1:2">
      <c r="A100" s="9" t="s">
        <v>235</v>
      </c>
      <c r="B100" s="2"/>
    </row>
    <row r="101" spans="1:2">
      <c r="A101" s="9" t="s">
        <v>236</v>
      </c>
      <c r="B101" s="2"/>
    </row>
    <row r="102" spans="1:2">
      <c r="A102" s="9" t="s">
        <v>237</v>
      </c>
      <c r="B102" s="2"/>
    </row>
    <row r="103" spans="1:2">
      <c r="A103" s="9" t="s">
        <v>238</v>
      </c>
      <c r="B103" s="2"/>
    </row>
    <row r="104" spans="1:2">
      <c r="A104" s="9" t="s">
        <v>239</v>
      </c>
      <c r="B104" s="2"/>
    </row>
    <row r="105" spans="1:2">
      <c r="A105" s="9" t="s">
        <v>240</v>
      </c>
      <c r="B105" s="2"/>
    </row>
    <row r="106" spans="1:2">
      <c r="A106" s="9" t="s">
        <v>241</v>
      </c>
      <c r="B106" s="2"/>
    </row>
    <row r="107" spans="1:2">
      <c r="A107" s="9" t="s">
        <v>242</v>
      </c>
      <c r="B107" s="2"/>
    </row>
    <row r="108" spans="1:2">
      <c r="A108" s="9" t="s">
        <v>243</v>
      </c>
      <c r="B108" s="2"/>
    </row>
    <row r="109" spans="1:2">
      <c r="A109" s="9" t="s">
        <v>244</v>
      </c>
      <c r="B109" s="2"/>
    </row>
    <row r="110" spans="1:2">
      <c r="A110" s="9" t="s">
        <v>245</v>
      </c>
      <c r="B110" s="2"/>
    </row>
    <row r="111" spans="1:2">
      <c r="A111" s="9" t="s">
        <v>246</v>
      </c>
      <c r="B111" s="2"/>
    </row>
    <row r="112" spans="1:2">
      <c r="A112" s="9" t="s">
        <v>247</v>
      </c>
      <c r="B112" s="2"/>
    </row>
    <row r="113" spans="1:2">
      <c r="A113" s="9" t="s">
        <v>248</v>
      </c>
      <c r="B113" s="2"/>
    </row>
    <row r="114" spans="1:2">
      <c r="A114" s="9" t="s">
        <v>249</v>
      </c>
      <c r="B114" s="2"/>
    </row>
    <row r="115" spans="1:2">
      <c r="A115" s="9" t="s">
        <v>250</v>
      </c>
      <c r="B115" s="2"/>
    </row>
    <row r="116" spans="1:2">
      <c r="A116" s="9" t="s">
        <v>251</v>
      </c>
      <c r="B116" s="2"/>
    </row>
    <row r="117" spans="1:2">
      <c r="A117" s="9" t="s">
        <v>252</v>
      </c>
      <c r="B117" s="2"/>
    </row>
    <row r="118" spans="1:2">
      <c r="A118" s="9" t="s">
        <v>253</v>
      </c>
      <c r="B118" s="2"/>
    </row>
    <row r="119" spans="1:2">
      <c r="A119" s="9" t="s">
        <v>254</v>
      </c>
      <c r="B119" s="2"/>
    </row>
    <row r="120" spans="1:2">
      <c r="A120" s="9" t="s">
        <v>255</v>
      </c>
      <c r="B120" s="2"/>
    </row>
    <row r="121" spans="1:2">
      <c r="A121" s="9" t="s">
        <v>256</v>
      </c>
      <c r="B121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3"/>
  <dimension ref="A1:D11"/>
  <sheetViews>
    <sheetView workbookViewId="0">
      <selection activeCell="D9" sqref="D9"/>
    </sheetView>
  </sheetViews>
  <sheetFormatPr baseColWidth="10" defaultRowHeight="15"/>
  <cols>
    <col min="1" max="2" width="15" customWidth="1"/>
    <col min="4" max="4" width="59.28515625" customWidth="1"/>
  </cols>
  <sheetData>
    <row r="1" spans="1:4">
      <c r="A1" t="s">
        <v>2</v>
      </c>
      <c r="B1" t="s">
        <v>276</v>
      </c>
      <c r="C1" t="s">
        <v>265</v>
      </c>
      <c r="D1" t="s">
        <v>277</v>
      </c>
    </row>
    <row r="2" spans="1:4">
      <c r="A2" s="10" t="s">
        <v>263</v>
      </c>
      <c r="B2" s="10"/>
      <c r="D2" s="17" t="s">
        <v>278</v>
      </c>
    </row>
    <row r="3" spans="1:4">
      <c r="A3" s="10" t="s">
        <v>262</v>
      </c>
      <c r="B3" s="10"/>
    </row>
    <row r="4" spans="1:4">
      <c r="A4" s="10" t="s">
        <v>264</v>
      </c>
      <c r="B4" s="10"/>
      <c r="C4" t="s">
        <v>267</v>
      </c>
    </row>
    <row r="5" spans="1:4">
      <c r="A5" s="10" t="s">
        <v>275</v>
      </c>
      <c r="B5" s="10"/>
      <c r="C5" s="10"/>
      <c r="D5" s="10" t="s">
        <v>282</v>
      </c>
    </row>
    <row r="6" spans="1:4">
      <c r="A6" s="10" t="s">
        <v>273</v>
      </c>
      <c r="B6" s="10"/>
      <c r="C6" s="10"/>
      <c r="D6" s="18" t="s">
        <v>283</v>
      </c>
    </row>
    <row r="7" spans="1:4">
      <c r="A7" s="10" t="s">
        <v>274</v>
      </c>
      <c r="B7" s="10"/>
      <c r="C7" s="10"/>
      <c r="D7" t="s">
        <v>281</v>
      </c>
    </row>
    <row r="8" spans="1:4">
      <c r="A8" s="10" t="s">
        <v>261</v>
      </c>
      <c r="B8" s="10"/>
      <c r="D8" t="s">
        <v>280</v>
      </c>
    </row>
    <row r="9" spans="1:4">
      <c r="A9" s="10" t="s">
        <v>259</v>
      </c>
      <c r="B9" s="10"/>
    </row>
    <row r="10" spans="1:4">
      <c r="A10" s="10" t="s">
        <v>260</v>
      </c>
      <c r="B10" s="10"/>
      <c r="D10" t="s">
        <v>279</v>
      </c>
    </row>
    <row r="11" spans="1:4">
      <c r="A11" t="s">
        <v>258</v>
      </c>
      <c r="C11" t="s">
        <v>266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14</vt:i4>
      </vt:variant>
    </vt:vector>
  </HeadingPairs>
  <TitlesOfParts>
    <vt:vector size="27" baseType="lpstr">
      <vt:lpstr>Summary</vt:lpstr>
      <vt:lpstr>Template</vt:lpstr>
      <vt:lpstr>_ComptAnnee</vt:lpstr>
      <vt:lpstr>_ComptCompte</vt:lpstr>
      <vt:lpstr>_ComptFraisFixe</vt:lpstr>
      <vt:lpstr>_ComptMouvement</vt:lpstr>
      <vt:lpstr>_ComptPeriode</vt:lpstr>
      <vt:lpstr>_ComptSolde</vt:lpstr>
      <vt:lpstr>SQL Definition</vt:lpstr>
      <vt:lpstr>SQL Tables Name</vt:lpstr>
      <vt:lpstr>SQL Queries</vt:lpstr>
      <vt:lpstr>SQL Create</vt:lpstr>
      <vt:lpstr>Data</vt:lpstr>
      <vt:lpstr>_ComptAnnee!List_SqlFieldTypes</vt:lpstr>
      <vt:lpstr>_ComptCompte!List_SqlFieldTypes</vt:lpstr>
      <vt:lpstr>_ComptFraisFixe!List_SqlFieldTypes</vt:lpstr>
      <vt:lpstr>_ComptMouvement!List_SqlFieldTypes</vt:lpstr>
      <vt:lpstr>_ComptPeriode!List_SqlFieldTypes</vt:lpstr>
      <vt:lpstr>_ComptSolde!List_SqlFieldTypes</vt:lpstr>
      <vt:lpstr>List_SqlFieldTypes</vt:lpstr>
      <vt:lpstr>_ComptAnnee!List_SqlTables</vt:lpstr>
      <vt:lpstr>_ComptCompte!List_SqlTables</vt:lpstr>
      <vt:lpstr>_ComptFraisFixe!List_SqlTables</vt:lpstr>
      <vt:lpstr>_ComptMouvement!List_SqlTables</vt:lpstr>
      <vt:lpstr>_ComptPeriode!List_SqlTables</vt:lpstr>
      <vt:lpstr>_ComptSolde!List_SqlTables</vt:lpstr>
      <vt:lpstr>List_SqlTables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2013-10-16T20:49:29Z</dcterms:modified>
</cp:coreProperties>
</file>