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filterPrivacy="1" codeName="ThisWorkbook" defaultThemeVersion="124226"/>
  <bookViews>
    <workbookView xWindow="480" yWindow="300" windowWidth="18495" windowHeight="11700" tabRatio="939" firstSheet="3" activeTab="10"/>
  </bookViews>
  <sheets>
    <sheet name="Summary" sheetId="1" r:id="rId1"/>
    <sheet name="Template" sheetId="13" state="hidden" r:id="rId2"/>
    <sheet name="Phobida_MenuItem" sheetId="24" r:id="rId3"/>
    <sheet name="Phobida_MenuCate" sheetId="25" r:id="rId4"/>
    <sheet name="Phobida_MenuCateItem" sheetId="26" r:id="rId5"/>
    <sheet name="Phobida_Photo" sheetId="27" r:id="rId6"/>
    <sheet name="Phobida_UserAccount" sheetId="28" r:id="rId7"/>
    <sheet name="Phobida_MenuRating" sheetId="29" r:id="rId8"/>
    <sheet name="SQL Definition" sheetId="7" r:id="rId9"/>
    <sheet name="SQL Tables Name" sheetId="8" state="hidden" r:id="rId10"/>
    <sheet name="SQL Queries" sheetId="11" r:id="rId11"/>
    <sheet name="SQL Create" sheetId="22" r:id="rId12"/>
    <sheet name="Data" sheetId="23" state="hidden" r:id="rId13"/>
  </sheets>
  <functionGroups/>
  <definedNames>
    <definedName name="List_Cate">Phobida_MenuCate!$C$4:$C$19</definedName>
    <definedName name="List_Item">Phobida_MenuItem!$C$4:$C$110</definedName>
    <definedName name="List_SqlFieldTypes" localSheetId="3">Sql_Field_Type[Field Type]</definedName>
    <definedName name="List_SqlFieldTypes" localSheetId="4">Sql_Field_Type[Field Type]</definedName>
    <definedName name="List_SqlFieldTypes" localSheetId="2">Sql_Field_Type[Field Type]</definedName>
    <definedName name="List_SqlFieldTypes" localSheetId="7">Sql_Field_Type[Field Type]</definedName>
    <definedName name="List_SqlFieldTypes" localSheetId="5">Sql_Field_Type[Field Type]</definedName>
    <definedName name="List_SqlFieldTypes" localSheetId="6">Sql_Field_Type[Field Type]</definedName>
    <definedName name="List_SqlFieldTypes">Sql_Field_Type[Field Type]</definedName>
    <definedName name="List_SqlTables" localSheetId="3">Sql_Table_Name[Table Name]</definedName>
    <definedName name="List_SqlTables" localSheetId="4">Sql_Table_Name[Table Name]</definedName>
    <definedName name="List_SqlTables" localSheetId="2">Sql_Table_Name[Table Name]</definedName>
    <definedName name="List_SqlTables" localSheetId="7">Sql_Table_Name[Table Name]</definedName>
    <definedName name="List_SqlTables" localSheetId="5">Sql_Table_Name[Table Name]</definedName>
    <definedName name="List_SqlTables" localSheetId="6">Sql_Table_Name[Table Name]</definedName>
    <definedName name="List_SqlTables">Sql_Table_Name[Table Name]</definedName>
  </definedNames>
  <calcPr calcId="124519"/>
</workbook>
</file>

<file path=xl/calcChain.xml><?xml version="1.0" encoding="utf-8"?>
<calcChain xmlns="http://schemas.openxmlformats.org/spreadsheetml/2006/main">
  <c r="R4" i="26"/>
  <c r="R5"/>
  <c r="R6"/>
  <c r="R7"/>
  <c r="R8"/>
  <c r="R9"/>
  <c r="R10"/>
  <c r="R11"/>
  <c r="R12"/>
  <c r="R13"/>
  <c r="R14"/>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62"/>
  <c r="R63"/>
  <c r="R64"/>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Q5"/>
  <c r="Q6"/>
  <c r="Q7"/>
  <c r="Q8"/>
  <c r="Q9"/>
  <c r="Q10"/>
  <c r="Q11"/>
  <c r="Q12"/>
  <c r="Q13"/>
  <c r="Q14"/>
  <c r="Q15"/>
  <c r="Q16"/>
  <c r="Q17"/>
  <c r="Q18"/>
  <c r="Q19"/>
  <c r="Q20"/>
  <c r="Q21"/>
  <c r="Q22"/>
  <c r="Q23"/>
  <c r="Q24"/>
  <c r="Q25"/>
  <c r="Q26"/>
  <c r="Q27"/>
  <c r="Q28"/>
  <c r="Q29"/>
  <c r="Q30"/>
  <c r="Q31"/>
  <c r="Q32"/>
  <c r="Q33"/>
  <c r="Q34"/>
  <c r="Q35"/>
  <c r="Q36"/>
  <c r="Q37"/>
  <c r="Q38"/>
  <c r="Q39"/>
  <c r="Q40"/>
  <c r="Q41"/>
  <c r="Q42"/>
  <c r="Q43"/>
  <c r="Q44"/>
  <c r="Q45"/>
  <c r="Q46"/>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Q92"/>
  <c r="Q93"/>
  <c r="Q94"/>
  <c r="Q95"/>
  <c r="Q96"/>
  <c r="Q97"/>
  <c r="Q98"/>
  <c r="Q99"/>
  <c r="Q100"/>
  <c r="Q101"/>
  <c r="Q102"/>
  <c r="Q103"/>
  <c r="Q104"/>
  <c r="Q105"/>
  <c r="Q106"/>
  <c r="Q107"/>
  <c r="Q108"/>
  <c r="Q109"/>
  <c r="Q110"/>
  <c r="Q4"/>
  <c r="C3" i="7"/>
  <c r="C4" s="1"/>
  <c r="C11"/>
  <c r="C12" s="1"/>
  <c r="C17"/>
  <c r="C18" s="1"/>
  <c r="C26"/>
  <c r="C27" s="1"/>
  <c r="C29"/>
  <c r="C30"/>
  <c r="C31" s="1"/>
  <c r="C36"/>
  <c r="C37" s="1"/>
  <c r="C2"/>
  <c r="A2" s="1"/>
  <c r="A3"/>
  <c r="A11"/>
  <c r="A17"/>
  <c r="A26"/>
  <c r="A29"/>
  <c r="A30"/>
  <c r="A36"/>
  <c r="B1" i="11" a="1"/>
  <c r="B1" s="1"/>
  <c r="A18" i="7" l="1"/>
  <c r="C19"/>
  <c r="A4"/>
  <c r="C5"/>
  <c r="C38"/>
  <c r="A37"/>
  <c r="C32"/>
  <c r="A31"/>
  <c r="C28"/>
  <c r="A28" s="1"/>
  <c r="A27"/>
  <c r="A12"/>
  <c r="C13"/>
  <c r="K1" i="11"/>
  <c r="I1"/>
  <c r="G1"/>
  <c r="E1"/>
  <c r="C1"/>
  <c r="L1"/>
  <c r="J1"/>
  <c r="H1"/>
  <c r="F1"/>
  <c r="D1"/>
  <c r="B2" a="1"/>
  <c r="J2"/>
  <c r="K2"/>
  <c r="L2"/>
  <c r="H2"/>
  <c r="I2"/>
  <c r="A32" i="7" l="1"/>
  <c r="C33"/>
  <c r="A38"/>
  <c r="C39"/>
  <c r="C14"/>
  <c r="A13"/>
  <c r="C6"/>
  <c r="A5"/>
  <c r="C20"/>
  <c r="A19"/>
  <c r="A20" l="1"/>
  <c r="C21"/>
  <c r="A6"/>
  <c r="C7"/>
  <c r="A14"/>
  <c r="C15"/>
  <c r="C40"/>
  <c r="A39"/>
  <c r="C34"/>
  <c r="A33"/>
  <c r="A34" l="1"/>
  <c r="C35"/>
  <c r="A35" s="1"/>
  <c r="A40"/>
  <c r="C41"/>
  <c r="C16"/>
  <c r="A16" s="1"/>
  <c r="A15"/>
  <c r="C8"/>
  <c r="A7"/>
  <c r="C22"/>
  <c r="A21"/>
  <c r="A22" l="1"/>
  <c r="C23"/>
  <c r="A8"/>
  <c r="C9"/>
  <c r="C42"/>
  <c r="A41"/>
  <c r="C10" l="1"/>
  <c r="A10" s="1"/>
  <c r="A9"/>
  <c r="C24"/>
  <c r="A23"/>
  <c r="A42"/>
  <c r="C43"/>
  <c r="A43" s="1"/>
  <c r="A24" l="1"/>
  <c r="C25"/>
  <c r="A25" s="1"/>
  <c r="B2" i="24" a="1"/>
  <c r="B3" i="28" a="1"/>
  <c r="B2" i="25" a="1"/>
  <c r="B2" i="28" a="1"/>
  <c r="B3" i="26" a="1"/>
  <c r="B2" i="29" a="1"/>
  <c r="B2" i="13" a="1"/>
  <c r="B3" a="1"/>
  <c r="B3" i="24" a="1"/>
  <c r="B2" i="26" a="1"/>
  <c r="B3" i="27" a="1"/>
  <c r="B2" a="1"/>
  <c r="B3" i="29" a="1"/>
  <c r="B3" i="25" a="1"/>
  <c r="L3" i="29" l="1"/>
  <c r="C3"/>
  <c r="G3"/>
  <c r="K3"/>
  <c r="D3"/>
  <c r="H3"/>
  <c r="E3"/>
  <c r="I3"/>
  <c r="M3"/>
  <c r="B3"/>
  <c r="F3"/>
  <c r="J3"/>
  <c r="L3" i="27"/>
  <c r="F3"/>
  <c r="M3"/>
  <c r="E3"/>
  <c r="D3"/>
  <c r="G3"/>
  <c r="J3"/>
  <c r="B3"/>
  <c r="I3"/>
  <c r="H3"/>
  <c r="K3"/>
  <c r="C3"/>
  <c r="L3" i="24"/>
  <c r="C3"/>
  <c r="K3"/>
  <c r="D3"/>
  <c r="E3"/>
  <c r="I3"/>
  <c r="M3"/>
  <c r="B3"/>
  <c r="F3"/>
  <c r="J3"/>
  <c r="G3"/>
  <c r="H3"/>
  <c r="H2" i="13"/>
  <c r="B2"/>
  <c r="G2"/>
  <c r="K2"/>
  <c r="I2"/>
  <c r="J2"/>
  <c r="M2"/>
  <c r="C2"/>
  <c r="L2"/>
  <c r="E2"/>
  <c r="F2"/>
  <c r="D2"/>
  <c r="M3" i="26"/>
  <c r="J3"/>
  <c r="H3"/>
  <c r="E3"/>
  <c r="I3"/>
  <c r="F3"/>
  <c r="B3"/>
  <c r="D3"/>
  <c r="L3"/>
  <c r="C3"/>
  <c r="G3"/>
  <c r="K3"/>
  <c r="M2" i="25"/>
  <c r="J2"/>
  <c r="D2"/>
  <c r="L2"/>
  <c r="E2"/>
  <c r="I2"/>
  <c r="F2"/>
  <c r="B2"/>
  <c r="H2"/>
  <c r="C2"/>
  <c r="G2"/>
  <c r="K2"/>
  <c r="M2" i="24"/>
  <c r="J2"/>
  <c r="F2"/>
  <c r="G2"/>
  <c r="B2"/>
  <c r="D2"/>
  <c r="L2"/>
  <c r="E2"/>
  <c r="I2"/>
  <c r="H2"/>
  <c r="C2"/>
  <c r="K2"/>
  <c r="L3" i="25"/>
  <c r="E3"/>
  <c r="I3"/>
  <c r="M3"/>
  <c r="B3"/>
  <c r="F3"/>
  <c r="J3"/>
  <c r="C3"/>
  <c r="G3"/>
  <c r="K3"/>
  <c r="D3"/>
  <c r="H3"/>
  <c r="M2" i="27"/>
  <c r="F2"/>
  <c r="J2"/>
  <c r="H2"/>
  <c r="C2"/>
  <c r="G2"/>
  <c r="K2"/>
  <c r="B2"/>
  <c r="D2"/>
  <c r="L2"/>
  <c r="E2"/>
  <c r="I2"/>
  <c r="L2" i="26"/>
  <c r="C2"/>
  <c r="G2"/>
  <c r="K2"/>
  <c r="B2"/>
  <c r="F2"/>
  <c r="J2"/>
  <c r="E2"/>
  <c r="I2"/>
  <c r="M2"/>
  <c r="D2"/>
  <c r="H2"/>
  <c r="F3" i="13"/>
  <c r="B3"/>
  <c r="E3"/>
  <c r="I3"/>
  <c r="G3"/>
  <c r="H3"/>
  <c r="K3"/>
  <c r="L3"/>
  <c r="J3"/>
  <c r="C3"/>
  <c r="D3"/>
  <c r="M3"/>
  <c r="M2" i="29"/>
  <c r="D2"/>
  <c r="L2"/>
  <c r="F2"/>
  <c r="C2"/>
  <c r="G2"/>
  <c r="K2"/>
  <c r="H2"/>
  <c r="B2"/>
  <c r="J2"/>
  <c r="E2"/>
  <c r="I2"/>
  <c r="M2" i="28"/>
  <c r="J2"/>
  <c r="D2"/>
  <c r="L2"/>
  <c r="E2"/>
  <c r="I2"/>
  <c r="B2"/>
  <c r="F2"/>
  <c r="H2"/>
  <c r="C2"/>
  <c r="G2"/>
  <c r="K2"/>
  <c r="L3"/>
  <c r="E3"/>
  <c r="I3"/>
  <c r="M3"/>
  <c r="B3"/>
  <c r="F3"/>
  <c r="J3"/>
  <c r="C3"/>
  <c r="G3"/>
  <c r="K3"/>
  <c r="D3"/>
  <c r="H3"/>
  <c r="C2" i="11"/>
  <c r="G2"/>
  <c r="F2"/>
  <c r="D2"/>
  <c r="B2"/>
  <c r="E2"/>
</calcChain>
</file>

<file path=xl/sharedStrings.xml><?xml version="1.0" encoding="utf-8"?>
<sst xmlns="http://schemas.openxmlformats.org/spreadsheetml/2006/main" count="1554" uniqueCount="1018">
  <si>
    <t>Table Name</t>
  </si>
  <si>
    <t>Field Name</t>
  </si>
  <si>
    <t>Field Type</t>
  </si>
  <si>
    <t>Field Length</t>
  </si>
  <si>
    <t>Field Count</t>
  </si>
  <si>
    <t>Field</t>
  </si>
  <si>
    <t>SearchKey</t>
  </si>
  <si>
    <t>Table</t>
  </si>
  <si>
    <t>Table Definition</t>
  </si>
  <si>
    <t>Max Length</t>
  </si>
  <si>
    <t>Field Name and Field Length</t>
  </si>
  <si>
    <t>Text</t>
  </si>
  <si>
    <t>Value is too long. Value length should be less than Field Length</t>
  </si>
  <si>
    <t>Field not defined, value should not be defined</t>
  </si>
  <si>
    <t>Tables</t>
  </si>
  <si>
    <t>Number of Items</t>
  </si>
  <si>
    <t>Query #1</t>
  </si>
  <si>
    <t>Query #2</t>
  </si>
  <si>
    <t>Query #3</t>
  </si>
  <si>
    <t>Query #4</t>
  </si>
  <si>
    <t>Query #5</t>
  </si>
  <si>
    <t>Query #6</t>
  </si>
  <si>
    <t>Query #7</t>
  </si>
  <si>
    <t>Query #8</t>
  </si>
  <si>
    <t>Query #9</t>
  </si>
  <si>
    <t>Query #10</t>
  </si>
  <si>
    <t>Query #11</t>
  </si>
  <si>
    <t>Query #12</t>
  </si>
  <si>
    <t>Query #13</t>
  </si>
  <si>
    <t>Query #14</t>
  </si>
  <si>
    <t>Query #15</t>
  </si>
  <si>
    <t>Query #16</t>
  </si>
  <si>
    <t>Query #17</t>
  </si>
  <si>
    <t>Query #18</t>
  </si>
  <si>
    <t>Query #19</t>
  </si>
  <si>
    <t>Query #20</t>
  </si>
  <si>
    <t>Query #21</t>
  </si>
  <si>
    <t>Query #22</t>
  </si>
  <si>
    <t>Query #23</t>
  </si>
  <si>
    <t>Query #24</t>
  </si>
  <si>
    <t>Query #25</t>
  </si>
  <si>
    <t>Query #26</t>
  </si>
  <si>
    <t>Query #27</t>
  </si>
  <si>
    <t>Query #28</t>
  </si>
  <si>
    <t>Query #29</t>
  </si>
  <si>
    <t>Query #30</t>
  </si>
  <si>
    <t>Query #31</t>
  </si>
  <si>
    <t>Query #32</t>
  </si>
  <si>
    <t>Query #33</t>
  </si>
  <si>
    <t>Query #34</t>
  </si>
  <si>
    <t>Query #35</t>
  </si>
  <si>
    <t>Query #36</t>
  </si>
  <si>
    <t>Query #37</t>
  </si>
  <si>
    <t>Query #38</t>
  </si>
  <si>
    <t>Query #39</t>
  </si>
  <si>
    <t>Query #40</t>
  </si>
  <si>
    <t>Query #41</t>
  </si>
  <si>
    <t>Query #42</t>
  </si>
  <si>
    <t>Query #43</t>
  </si>
  <si>
    <t>Query #44</t>
  </si>
  <si>
    <t>Query #45</t>
  </si>
  <si>
    <t>Query #46</t>
  </si>
  <si>
    <t>Query #47</t>
  </si>
  <si>
    <t>Query #48</t>
  </si>
  <si>
    <t>Query #49</t>
  </si>
  <si>
    <t>Query #50</t>
  </si>
  <si>
    <t>Query #51</t>
  </si>
  <si>
    <t>Query #52</t>
  </si>
  <si>
    <t>Query #53</t>
  </si>
  <si>
    <t>Query #54</t>
  </si>
  <si>
    <t>Query #55</t>
  </si>
  <si>
    <t>Query #56</t>
  </si>
  <si>
    <t>Query #57</t>
  </si>
  <si>
    <t>Query #58</t>
  </si>
  <si>
    <t>Query #59</t>
  </si>
  <si>
    <t>Query #60</t>
  </si>
  <si>
    <t>Query #61</t>
  </si>
  <si>
    <t>Query #62</t>
  </si>
  <si>
    <t>Query #63</t>
  </si>
  <si>
    <t>Query #64</t>
  </si>
  <si>
    <t>Query #65</t>
  </si>
  <si>
    <t>Query #66</t>
  </si>
  <si>
    <t>Query #67</t>
  </si>
  <si>
    <t>Query #68</t>
  </si>
  <si>
    <t>Query #69</t>
  </si>
  <si>
    <t>Query #70</t>
  </si>
  <si>
    <t>Query #71</t>
  </si>
  <si>
    <t>Query #72</t>
  </si>
  <si>
    <t>Query #73</t>
  </si>
  <si>
    <t>Query #74</t>
  </si>
  <si>
    <t>Query #75</t>
  </si>
  <si>
    <t>Query #76</t>
  </si>
  <si>
    <t>Query #77</t>
  </si>
  <si>
    <t>Query #78</t>
  </si>
  <si>
    <t>Query #79</t>
  </si>
  <si>
    <t>Query #80</t>
  </si>
  <si>
    <t>Query #81</t>
  </si>
  <si>
    <t>Query #82</t>
  </si>
  <si>
    <t>Query #83</t>
  </si>
  <si>
    <t>Query #84</t>
  </si>
  <si>
    <t>Query #85</t>
  </si>
  <si>
    <t>Query #86</t>
  </si>
  <si>
    <t>Query #87</t>
  </si>
  <si>
    <t>Query #88</t>
  </si>
  <si>
    <t>Query #89</t>
  </si>
  <si>
    <t>Query #90</t>
  </si>
  <si>
    <t>Query #91</t>
  </si>
  <si>
    <t>Query #92</t>
  </si>
  <si>
    <t>Query #93</t>
  </si>
  <si>
    <t>Query #94</t>
  </si>
  <si>
    <t>Query #95</t>
  </si>
  <si>
    <t>Query #96</t>
  </si>
  <si>
    <t>Query #97</t>
  </si>
  <si>
    <t>Query #98</t>
  </si>
  <si>
    <t>Query #99</t>
  </si>
  <si>
    <t>Query #100</t>
  </si>
  <si>
    <t>Query #101</t>
  </si>
  <si>
    <t>Query #102</t>
  </si>
  <si>
    <t>Query #103</t>
  </si>
  <si>
    <t>Query #104</t>
  </si>
  <si>
    <t>Query #105</t>
  </si>
  <si>
    <t>Query #106</t>
  </si>
  <si>
    <t>Query #107</t>
  </si>
  <si>
    <t>Query #108</t>
  </si>
  <si>
    <t>Query #109</t>
  </si>
  <si>
    <t>Query #110</t>
  </si>
  <si>
    <t>Query #111</t>
  </si>
  <si>
    <t>Query #112</t>
  </si>
  <si>
    <t>Query #113</t>
  </si>
  <si>
    <t>Query #114</t>
  </si>
  <si>
    <t>Query #115</t>
  </si>
  <si>
    <t>Query #116</t>
  </si>
  <si>
    <t>Query #117</t>
  </si>
  <si>
    <t>Query #118</t>
  </si>
  <si>
    <t>Query #119</t>
  </si>
  <si>
    <t>Query #120</t>
  </si>
  <si>
    <t>Database:</t>
  </si>
  <si>
    <t>Row #1</t>
  </si>
  <si>
    <t>Row #2</t>
  </si>
  <si>
    <t>Row #3</t>
  </si>
  <si>
    <t>Row #4</t>
  </si>
  <si>
    <t>Row #5</t>
  </si>
  <si>
    <t>Row #6</t>
  </si>
  <si>
    <t>Row #7</t>
  </si>
  <si>
    <t>Row #8</t>
  </si>
  <si>
    <t>Row #9</t>
  </si>
  <si>
    <t>Row #10</t>
  </si>
  <si>
    <t>Row #11</t>
  </si>
  <si>
    <t>Row #12</t>
  </si>
  <si>
    <t>Row #13</t>
  </si>
  <si>
    <t>Row #14</t>
  </si>
  <si>
    <t>Row #15</t>
  </si>
  <si>
    <t>Row #16</t>
  </si>
  <si>
    <t>Row #17</t>
  </si>
  <si>
    <t>Row #18</t>
  </si>
  <si>
    <t>Row #19</t>
  </si>
  <si>
    <t>Row #20</t>
  </si>
  <si>
    <t>Row #21</t>
  </si>
  <si>
    <t>Row #22</t>
  </si>
  <si>
    <t>Row #23</t>
  </si>
  <si>
    <t>Row #24</t>
  </si>
  <si>
    <t>Row #25</t>
  </si>
  <si>
    <t>Row #26</t>
  </si>
  <si>
    <t>Row #27</t>
  </si>
  <si>
    <t>Row #28</t>
  </si>
  <si>
    <t>Row #29</t>
  </si>
  <si>
    <t>Row #30</t>
  </si>
  <si>
    <t>Row #31</t>
  </si>
  <si>
    <t>Row #32</t>
  </si>
  <si>
    <t>Row #33</t>
  </si>
  <si>
    <t>Row #34</t>
  </si>
  <si>
    <t>Row #35</t>
  </si>
  <si>
    <t>Row #36</t>
  </si>
  <si>
    <t>Row #37</t>
  </si>
  <si>
    <t>Row #38</t>
  </si>
  <si>
    <t>Row #39</t>
  </si>
  <si>
    <t>Row #40</t>
  </si>
  <si>
    <t>Row #41</t>
  </si>
  <si>
    <t>Row #42</t>
  </si>
  <si>
    <t>Row #43</t>
  </si>
  <si>
    <t>Row #44</t>
  </si>
  <si>
    <t>Row #45</t>
  </si>
  <si>
    <t>Row #46</t>
  </si>
  <si>
    <t>Row #47</t>
  </si>
  <si>
    <t>Row #48</t>
  </si>
  <si>
    <t>Row #49</t>
  </si>
  <si>
    <t>Row #50</t>
  </si>
  <si>
    <t>Row #51</t>
  </si>
  <si>
    <t>Row #52</t>
  </si>
  <si>
    <t>Row #53</t>
  </si>
  <si>
    <t>Row #54</t>
  </si>
  <si>
    <t>Row #55</t>
  </si>
  <si>
    <t>Row #56</t>
  </si>
  <si>
    <t>Row #57</t>
  </si>
  <si>
    <t>Row #58</t>
  </si>
  <si>
    <t>Row #59</t>
  </si>
  <si>
    <t>Row #60</t>
  </si>
  <si>
    <t>Row #61</t>
  </si>
  <si>
    <t>Row #62</t>
  </si>
  <si>
    <t>Row #63</t>
  </si>
  <si>
    <t>Row #64</t>
  </si>
  <si>
    <t>Row #65</t>
  </si>
  <si>
    <t>Row #66</t>
  </si>
  <si>
    <t>Row #67</t>
  </si>
  <si>
    <t>Row #68</t>
  </si>
  <si>
    <t>Row #69</t>
  </si>
  <si>
    <t>Row #70</t>
  </si>
  <si>
    <t>Row #71</t>
  </si>
  <si>
    <t>Row #72</t>
  </si>
  <si>
    <t>Row #73</t>
  </si>
  <si>
    <t>Row #74</t>
  </si>
  <si>
    <t>Row #75</t>
  </si>
  <si>
    <t>Row #76</t>
  </si>
  <si>
    <t>Row #77</t>
  </si>
  <si>
    <t>Row #78</t>
  </si>
  <si>
    <t>Row #79</t>
  </si>
  <si>
    <t>Row #80</t>
  </si>
  <si>
    <t>Row #81</t>
  </si>
  <si>
    <t>Row #82</t>
  </si>
  <si>
    <t>Row #83</t>
  </si>
  <si>
    <t>Row #84</t>
  </si>
  <si>
    <t>Row #85</t>
  </si>
  <si>
    <t>Row #86</t>
  </si>
  <si>
    <t>Row #87</t>
  </si>
  <si>
    <t>Row #88</t>
  </si>
  <si>
    <t>Row #89</t>
  </si>
  <si>
    <t>Row #90</t>
  </si>
  <si>
    <t>Row #91</t>
  </si>
  <si>
    <t>Row #92</t>
  </si>
  <si>
    <t>Row #93</t>
  </si>
  <si>
    <t>Row #94</t>
  </si>
  <si>
    <t>Row #95</t>
  </si>
  <si>
    <t>Row #96</t>
  </si>
  <si>
    <t>Row #97</t>
  </si>
  <si>
    <t>Row #98</t>
  </si>
  <si>
    <t>Row #99</t>
  </si>
  <si>
    <t>Row #100</t>
  </si>
  <si>
    <t>Row #101</t>
  </si>
  <si>
    <t>Row #102</t>
  </si>
  <si>
    <t>Row #103</t>
  </si>
  <si>
    <t>Row #104</t>
  </si>
  <si>
    <t>Row #105</t>
  </si>
  <si>
    <t>Row #106</t>
  </si>
  <si>
    <t>Row #107</t>
  </si>
  <si>
    <t>Row #108</t>
  </si>
  <si>
    <t>Row #109</t>
  </si>
  <si>
    <t>Row #110</t>
  </si>
  <si>
    <t>Row #111</t>
  </si>
  <si>
    <t>Row #112</t>
  </si>
  <si>
    <t>Row #113</t>
  </si>
  <si>
    <t>Row #114</t>
  </si>
  <si>
    <t>Row #115</t>
  </si>
  <si>
    <t>Row #116</t>
  </si>
  <si>
    <t>Row #117</t>
  </si>
  <si>
    <t>Row #118</t>
  </si>
  <si>
    <t>Row #119</t>
  </si>
  <si>
    <t>Row #120</t>
  </si>
  <si>
    <t>Primary Key</t>
  </si>
  <si>
    <t>VARCHAR</t>
  </si>
  <si>
    <t>TIMESTAMP</t>
  </si>
  <si>
    <t>TINYINT</t>
  </si>
  <si>
    <t>SMALLINT</t>
  </si>
  <si>
    <t>DATE</t>
  </si>
  <si>
    <t>BOOLEAN</t>
  </si>
  <si>
    <t>DECIMAL</t>
  </si>
  <si>
    <t>Format</t>
  </si>
  <si>
    <t>VARCHAR(100)</t>
  </si>
  <si>
    <t>DECIMAL(10,2)</t>
  </si>
  <si>
    <t>Field Length 2</t>
  </si>
  <si>
    <t>Parameters</t>
  </si>
  <si>
    <t>Add / Remove tables</t>
  </si>
  <si>
    <t>Generate SQL queries</t>
  </si>
  <si>
    <t>Clear queries</t>
  </si>
  <si>
    <t>INTEGER</t>
  </si>
  <si>
    <t>MEDIUMINT</t>
  </si>
  <si>
    <t>INT</t>
  </si>
  <si>
    <t>Default Length</t>
  </si>
  <si>
    <t>Comment</t>
  </si>
  <si>
    <t>=TINYINT(1)</t>
  </si>
  <si>
    <t>From -128 to 127</t>
  </si>
  <si>
    <t>From -32768 to 32767</t>
  </si>
  <si>
    <t>From -8388608 to 8388607</t>
  </si>
  <si>
    <t>From -2147483648 to 2147483647</t>
  </si>
  <si>
    <t>=INT</t>
  </si>
  <si>
    <t>quid des décimaux?</t>
  </si>
  <si>
    <t>Phobida_MenuItem</t>
  </si>
  <si>
    <t>Phobida_MenuCate</t>
  </si>
  <si>
    <t>Phobida_MenuCateItem</t>
  </si>
  <si>
    <t>Phobida_Photo</t>
  </si>
  <si>
    <t>Phobida_UserAccount</t>
  </si>
  <si>
    <t>Phobida_MenuRating</t>
  </si>
  <si>
    <t>ID_MenuItem</t>
  </si>
  <si>
    <t>-</t>
  </si>
  <si>
    <t>Txt_Item%Name</t>
  </si>
  <si>
    <t>Txt_ItemTitle%Fr</t>
  </si>
  <si>
    <t>Txt_ItemTitle%En</t>
  </si>
  <si>
    <t>Txt_ItemTitle%Tw</t>
  </si>
  <si>
    <t>Txt_ItemTitle%Vn</t>
  </si>
  <si>
    <t>Txt_PicName</t>
  </si>
  <si>
    <t>Int_Item%Order</t>
  </si>
  <si>
    <t>Dble_Price</t>
  </si>
  <si>
    <t>ID_MenuRating</t>
  </si>
  <si>
    <t>Txt_Name</t>
  </si>
  <si>
    <t>Txt_Email</t>
  </si>
  <si>
    <t>Txt_Comment</t>
  </si>
  <si>
    <t>Int_Rating</t>
  </si>
  <si>
    <t>Txt_Validated</t>
  </si>
  <si>
    <t>ID_MenuCate</t>
  </si>
  <si>
    <t>Txt_Cate%Name</t>
  </si>
  <si>
    <t>Txt_CateTitle%Fr</t>
  </si>
  <si>
    <t>Txt_CateTitle%En</t>
  </si>
  <si>
    <t>Txt_CateTitle%Tw</t>
  </si>
  <si>
    <t>Txt_CateTitle%Vn</t>
  </si>
  <si>
    <t>Int_Cate%Order</t>
  </si>
  <si>
    <t>Txt_AvailableRating</t>
  </si>
  <si>
    <t>ID_MenuCateItem</t>
  </si>
  <si>
    <t>Id_MenuCate</t>
  </si>
  <si>
    <t>Id_MenuItem</t>
  </si>
  <si>
    <t>ID_User</t>
  </si>
  <si>
    <t>Txt_Login</t>
  </si>
  <si>
    <t>Txt_Password</t>
  </si>
  <si>
    <t>Txt_First%Name</t>
  </si>
  <si>
    <t>Txt_Last%Name</t>
  </si>
  <si>
    <t>UpDT_Last&amp;update</t>
  </si>
  <si>
    <t>ID_Photo</t>
  </si>
  <si>
    <t>Txt_FileName</t>
  </si>
  <si>
    <t>Txt_PhotoName</t>
  </si>
  <si>
    <t>Int_Photo%Order</t>
  </si>
  <si>
    <t>Txt_Desc%Fr</t>
  </si>
  <si>
    <t>Txt_Desc%En</t>
  </si>
  <si>
    <t>Txt_Desc%Tw</t>
  </si>
  <si>
    <t>Txt_Desc%Vn</t>
  </si>
  <si>
    <t>X</t>
  </si>
  <si>
    <t>UNSIGNED NOT NULL AUTO_INCREMENT</t>
  </si>
  <si>
    <t>UNSIGNED</t>
  </si>
  <si>
    <t>au fond.JPG</t>
  </si>
  <si>
    <t>Au Fond</t>
  </si>
  <si>
    <t>un desc en Français 1</t>
  </si>
  <si>
    <t>English Desc 1</t>
  </si>
  <si>
    <t>coucou.JPG</t>
  </si>
  <si>
    <t>Coucou</t>
  </si>
  <si>
    <t>un desc en Français 2</t>
  </si>
  <si>
    <t>English Desc 2</t>
  </si>
  <si>
    <t>dans un coin.JPG</t>
  </si>
  <si>
    <t>Dans un coin</t>
  </si>
  <si>
    <t>un desc en Français 3</t>
  </si>
  <si>
    <t>English Desc 3</t>
  </si>
  <si>
    <t>irasshai.jpg</t>
  </si>
  <si>
    <t>いらっしゃい</t>
  </si>
  <si>
    <t>un desc en Français 4</t>
  </si>
  <si>
    <t>English Desc 4</t>
  </si>
  <si>
    <t>le bar.JPG</t>
  </si>
  <si>
    <t>Le bar</t>
  </si>
  <si>
    <t>un desc en Français 5</t>
  </si>
  <si>
    <t>English Desc 5</t>
  </si>
  <si>
    <t>miam.JPG</t>
  </si>
  <si>
    <t>Miam</t>
  </si>
  <si>
    <t>un desc en Français 6</t>
  </si>
  <si>
    <t>English Desc 6</t>
  </si>
  <si>
    <t>plop (1).jpg</t>
  </si>
  <si>
    <t>Plop</t>
  </si>
  <si>
    <t>un desc en Français 7</t>
  </si>
  <si>
    <t>English Desc 7</t>
  </si>
  <si>
    <t>plop (2).jpg</t>
  </si>
  <si>
    <t>un desc en Français 8</t>
  </si>
  <si>
    <t>English Desc 8</t>
  </si>
  <si>
    <t>plop (3).jpg</t>
  </si>
  <si>
    <t>un desc en Français 9</t>
  </si>
  <si>
    <t>English Desc 9</t>
  </si>
  <si>
    <t>plop (4).jpg</t>
  </si>
  <si>
    <t>un desc en Français 10</t>
  </si>
  <si>
    <t>English Desc 10</t>
  </si>
  <si>
    <t>plop (5).jpg</t>
  </si>
  <si>
    <t>un desc en Français 11</t>
  </si>
  <si>
    <t>English Desc 11</t>
  </si>
  <si>
    <t>plop (6).jpg</t>
  </si>
  <si>
    <t>un desc en Français 12</t>
  </si>
  <si>
    <t>English Desc 12</t>
  </si>
  <si>
    <t>plop (7).jpg</t>
  </si>
  <si>
    <t>un desc en Français 13</t>
  </si>
  <si>
    <t>English Desc 13</t>
  </si>
  <si>
    <t>plop (8).jpg</t>
  </si>
  <si>
    <t>un desc en Français 14</t>
  </si>
  <si>
    <t>English Desc 14</t>
  </si>
  <si>
    <t>plop (9).jpg</t>
  </si>
  <si>
    <t>un desc en Français 15</t>
  </si>
  <si>
    <t>English Desc 15</t>
  </si>
  <si>
    <t>plop (10).jpg</t>
  </si>
  <si>
    <t>un desc en Français 16</t>
  </si>
  <si>
    <t>English Desc 16</t>
  </si>
  <si>
    <t>plop (11).jpg</t>
  </si>
  <si>
    <t>un desc en Français 17</t>
  </si>
  <si>
    <t>English Desc 17</t>
  </si>
  <si>
    <t>que choisir.JPG</t>
  </si>
  <si>
    <t>Que choisir</t>
  </si>
  <si>
    <t>un desc en Français 18</t>
  </si>
  <si>
    <t>English Desc 18</t>
  </si>
  <si>
    <t>salle.JPG</t>
  </si>
  <si>
    <t>Salle</t>
  </si>
  <si>
    <t>un desc en Français 19</t>
  </si>
  <si>
    <t>English Desc 19</t>
  </si>
  <si>
    <t>Lainlun</t>
  </si>
  <si>
    <t>1d998290889846a2c193ddc2c33ad55b7673f852</t>
  </si>
  <si>
    <t>Alain</t>
  </si>
  <si>
    <t>Seng</t>
  </si>
  <si>
    <t>xsylum@gmail.com</t>
  </si>
  <si>
    <t>NULL</t>
  </si>
  <si>
    <t>dk</t>
  </si>
  <si>
    <t>2c8a4ef59b059c720dd5a46b45a729c832914b52</t>
  </si>
  <si>
    <t>DK</t>
  </si>
  <si>
    <t>Vu</t>
  </si>
  <si>
    <t>Entrées</t>
  </si>
  <si>
    <t>Starters</t>
  </si>
  <si>
    <t>phobida_menu_entree.png</t>
  </si>
  <si>
    <t>No</t>
  </si>
  <si>
    <t>Phở</t>
  </si>
  <si>
    <t>Phở - Soupes</t>
  </si>
  <si>
    <t>Soup</t>
  </si>
  <si>
    <t>phobida_menu_pho.png</t>
  </si>
  <si>
    <t>Cháo</t>
  </si>
  <si>
    <t>Cháo - Bouillie de riz</t>
  </si>
  <si>
    <t>phobida_menu_chao.png</t>
  </si>
  <si>
    <t>Bún</t>
  </si>
  <si>
    <t>Bún - Vermicelles de riz</t>
  </si>
  <si>
    <t>phobida_menu_bun.png</t>
  </si>
  <si>
    <t>Cơm dĩa</t>
  </si>
  <si>
    <t>Cơm dĩa - Plats de riz garnis</t>
  </si>
  <si>
    <t>phobida_menu_com_dia.png</t>
  </si>
  <si>
    <t>Món tối</t>
  </si>
  <si>
    <t>Món tối - Plats servis le soir uniquement</t>
  </si>
  <si>
    <t>Món tối - Diner only meals</t>
  </si>
  <si>
    <t>Boissons</t>
  </si>
  <si>
    <t>Drink</t>
  </si>
  <si>
    <t>Apéritifs &amp; Digestifs</t>
  </si>
  <si>
    <t>Bières</t>
  </si>
  <si>
    <t>Beer</t>
  </si>
  <si>
    <t>Vins Rouges</t>
  </si>
  <si>
    <t>Red Wines</t>
  </si>
  <si>
    <t>Vins Rosés</t>
  </si>
  <si>
    <t>Rose Wine</t>
  </si>
  <si>
    <t>Vins Pichets</t>
  </si>
  <si>
    <t>Boissons fruitées</t>
  </si>
  <si>
    <t>Fruit drinks</t>
  </si>
  <si>
    <t>Milkshakes</t>
  </si>
  <si>
    <t>Desserts</t>
  </si>
  <si>
    <t>Desert</t>
  </si>
  <si>
    <t>Café</t>
  </si>
  <si>
    <t>Coffee</t>
  </si>
  <si>
    <t>Chả giò (nem)</t>
  </si>
  <si>
    <t>Petits pâtés impériaux au porc, crevettes ou poulet avec salade verte et menthe fraîche</t>
  </si>
  <si>
    <t>Fried pork, shrimp or chicken spring rolls with green salad and fresh mint</t>
  </si>
  <si>
    <t>Chả giò</t>
  </si>
  <si>
    <t>Gỏi đu đủ tôm thịt</t>
  </si>
  <si>
    <t>Émincé de papaye verte accompagné de crevettes et de porc</t>
  </si>
  <si>
    <t>Green papaya salad with shrimps and pork</t>
  </si>
  <si>
    <t>Gỏi gà</t>
  </si>
  <si>
    <t>Salade de poulet et papaye</t>
  </si>
  <si>
    <t>Chicken and papaya salad</t>
  </si>
  <si>
    <t>hải sản</t>
  </si>
  <si>
    <t>Salade de fruits de mer</t>
  </si>
  <si>
    <t>Seafood salad</t>
  </si>
  <si>
    <t>Bò tái chanh</t>
  </si>
  <si>
    <t>Carpaccio de boeuf façon vietnamienne</t>
  </si>
  <si>
    <t>Beef carpaccio vietnamese style</t>
  </si>
  <si>
    <t>Bánh bèo</t>
  </si>
  <si>
    <t>Mini crêpes de riz à la vapeur aux crevettes séchées</t>
  </si>
  <si>
    <t>Steamed mini rice pancakes with dry shrimps</t>
  </si>
  <si>
    <t>Bánh cuốn</t>
  </si>
  <si>
    <t>Raviolis à la vapeur gamis de porc haché et de champignons noirs</t>
  </si>
  <si>
    <t>Steamed raviolis with minced pork and black mushrooms</t>
  </si>
  <si>
    <t>Bánh cuốn tôm</t>
  </si>
  <si>
    <t>Raviolis à la vapeur gamis de crevettes</t>
  </si>
  <si>
    <t>Steamed raviolis with shrimps</t>
  </si>
  <si>
    <t>Phở đặc biệt bò viên</t>
  </si>
  <si>
    <t>Soupe tonkinoise complète: boeuf cuit, bœuf  saignant, tripes, tendon et boulettes de bœuf (petit)</t>
  </si>
  <si>
    <t>Complete Vietnamese beef noodle soup with beef ball (small)</t>
  </si>
  <si>
    <t>Phở gà</t>
  </si>
  <si>
    <t>Soupe tonkinoise au poulet (petit)</t>
  </si>
  <si>
    <t>Chicken noodle soup</t>
  </si>
  <si>
    <t>Hủ tiếu Mỹ Tho</t>
  </si>
  <si>
    <t>Soupe saigonnaise gamie de poulet, crevettes, porc et oeufs de caille (petit)</t>
  </si>
  <si>
    <t>Saigonese noodle soup with chicken, shrimps, pork and quail eggs</t>
  </si>
  <si>
    <t>Bún bò Huế</t>
  </si>
  <si>
    <t>Soupe impériale de boeuf pimenté de Hue (petit)</t>
  </si>
  <si>
    <t>Hue spicy beef noodle soup</t>
  </si>
  <si>
    <t>Phở đặc biệt bò viên (grand)</t>
  </si>
  <si>
    <t>Soupe tonkinoise complète: boeuf cuit, bœuf saignant, tripes, tendon et boulettes de bœuf (grand)</t>
  </si>
  <si>
    <t>Complete Vietnamese beef noodle soup with beef ball</t>
  </si>
  <si>
    <t>Phở gà (grand)</t>
  </si>
  <si>
    <t>Soupe tonkinoise au poulet (grand)</t>
  </si>
  <si>
    <t>Hủ tiếu Mỹ Tho (grand)</t>
  </si>
  <si>
    <t>Soupe saigonnaise gamie de poulet, crevettes, porc et oeufs de caille (grand)</t>
  </si>
  <si>
    <t>Bún bò Huế (grand)</t>
  </si>
  <si>
    <t>Soupe impériale de boeuf pimenté de Hue (grand)</t>
  </si>
  <si>
    <t>Cháo lòng</t>
  </si>
  <si>
    <t>Soupe de riz aux abats</t>
  </si>
  <si>
    <t>Rice congee with offals</t>
  </si>
  <si>
    <t>Cháo gà</t>
  </si>
  <si>
    <t>Soupe de riz aux poulet</t>
  </si>
  <si>
    <t>Rice congee with chicken</t>
  </si>
  <si>
    <t>Bún riêu</t>
  </si>
  <si>
    <t>Soupe de vermicelles aux étrilles avec ou sans boudin vietnamien</t>
  </si>
  <si>
    <t>Vermicelli soup with crab</t>
  </si>
  <si>
    <t>Bún bò nướng chả giò (bò bún)</t>
  </si>
  <si>
    <t>Vermicelles de riz au boeuf grillé et pâtés impériaux</t>
  </si>
  <si>
    <t>Rice vermicelli with grilled beef and spring rolls</t>
  </si>
  <si>
    <t>Bún heo nướng chả giò</t>
  </si>
  <si>
    <t>Vermicelles de riz au porc grillé et pâtés impériaux</t>
  </si>
  <si>
    <t>Rice vermicelli with grilled pork and spring rolls</t>
  </si>
  <si>
    <t>Bún bì chả giò</t>
  </si>
  <si>
    <t>Vermicelles de riz au porc émincé et pâtés impériaux</t>
  </si>
  <si>
    <t>Rice vermicelli with minced pork and spring rolls</t>
  </si>
  <si>
    <t>Bún bì nem chua chả giò</t>
  </si>
  <si>
    <t>Vermicelles de riz avec porc émincé, carrés de porc mariné et pâté impériaux</t>
  </si>
  <si>
    <t>Rice vermicelli with minced pork chine, sour pork and spring rolls</t>
  </si>
  <si>
    <t>Bún sườn chả giò</t>
  </si>
  <si>
    <t>Vermicelles de riz à l’ échine de porc grillée et pâtés impériaux au porc</t>
  </si>
  <si>
    <t>Bún gà chả giò gà</t>
  </si>
  <si>
    <t>Vermicelles de riz au poulet et pâtés imprériaux au poulet</t>
  </si>
  <si>
    <t>Rice vermicelli with chicken and chicken spring rolls</t>
  </si>
  <si>
    <t>Bún chả Hà Nội</t>
  </si>
  <si>
    <t>Vermicelles de riz au porc grillé et salade (spécialité Hanoienne)</t>
  </si>
  <si>
    <t>Rice vemicelli with grilled pork and salad (Hanoi specialty)</t>
  </si>
  <si>
    <t>Bò lá lốt</t>
  </si>
  <si>
    <t>Brochette de boeuf roulée dans sa feuille « la lot »</t>
  </si>
  <si>
    <t>Beef brochette in its « la lot » leaf</t>
  </si>
  <si>
    <t>Cơm sườn bì chả</t>
  </si>
  <si>
    <t>Plat de riz accompagné de porc émincé, d’échine de porc et d’un pâté vietnamien</t>
  </si>
  <si>
    <t>Rice plate with minced pork, pork chine and vietnamese pate</t>
  </si>
  <si>
    <t>Cơm thịt heo kho trứng</t>
  </si>
  <si>
    <t>Plat de riz au porc et oeufs au caramel</t>
  </si>
  <si>
    <t>Rice plate with caramelised pork ribs</t>
  </si>
  <si>
    <t>Cơm sườn ram</t>
  </si>
  <si>
    <t>Plat de riz aux traves de porc caramélisés</t>
  </si>
  <si>
    <t>Cơm gà bò nướng</t>
  </si>
  <si>
    <t>Plat de riz avec grillades de poulet et de boeuf</t>
  </si>
  <si>
    <t>Rice plate with grilled chicken and beef</t>
  </si>
  <si>
    <t>Cơm cá kho</t>
  </si>
  <si>
    <t>Plat de riz au poisson caramélisés</t>
  </si>
  <si>
    <t>Rice plate with caramelised fish</t>
  </si>
  <si>
    <t>Cơm sườn nướng</t>
  </si>
  <si>
    <t>Plat de riz à l’échine de porc grillé</t>
  </si>
  <si>
    <t>Rice plate with grilled pork chine</t>
  </si>
  <si>
    <t>Cơm gà thịt heo nướng</t>
  </si>
  <si>
    <t>Plat de riz avec grillades de poulet et de porc</t>
  </si>
  <si>
    <t>Rice plate with grilled chicken and pork</t>
  </si>
  <si>
    <t>Cơm thịt heo nướng</t>
  </si>
  <si>
    <t>Plat de riz accompagné de grillades de porc</t>
  </si>
  <si>
    <t>Rice plate wit grilled pork</t>
  </si>
  <si>
    <t>Cơm gà nướng sả</t>
  </si>
  <si>
    <t>Plat de riz au poulet grillé et parfumé à la citronnelle</t>
  </si>
  <si>
    <t>Rice plate with grilled lemongrass chicken</t>
  </si>
  <si>
    <t>Cơm bò nướng</t>
  </si>
  <si>
    <t>Plat de riz accompagné de grillades de boeuf</t>
  </si>
  <si>
    <t>Rice plate with grilled beefs</t>
  </si>
  <si>
    <t>Cơm sườn bì</t>
  </si>
  <si>
    <t>Plat de riz à l`échine grillée et couenne de porc émincé</t>
  </si>
  <si>
    <t>Rice plate with grilled pork chine and minced pork rind</t>
  </si>
  <si>
    <t>Cơm gà bì</t>
  </si>
  <si>
    <t>Plat de riz au poulet grillé et covenne de porc émincé</t>
  </si>
  <si>
    <t>Rice plate with grilled chicken and minced pork rind</t>
  </si>
  <si>
    <t>Cơm trắng</t>
  </si>
  <si>
    <t>Riz blanc</t>
  </si>
  <si>
    <t>White steamed rice</t>
  </si>
  <si>
    <t>Mì xào tôm</t>
  </si>
  <si>
    <t>Nouilles jaunes sautées aux crevettes</t>
  </si>
  <si>
    <t>Yellow noodles sauteed with shrimps</t>
  </si>
  <si>
    <t>Mì xào dòn bò</t>
  </si>
  <si>
    <t>ouilles jaunes croustillantes accompagnées de boeuf et de légumes</t>
  </si>
  <si>
    <t>Crispy yellow noodles topped with assorted beef and vegetables</t>
  </si>
  <si>
    <t>Mì xào dòn tôm</t>
  </si>
  <si>
    <t>Nouilles jaunes croustillantes accompagnées de crevettes et de légumes</t>
  </si>
  <si>
    <t>Crispy yellow noodles topped with assorted shrimps and vegetables</t>
  </si>
  <si>
    <t>Cơm bò lúc lắc</t>
  </si>
  <si>
    <t>Riz accompagné de boeuf «luc lac»</t>
  </si>
  <si>
    <t>Rice with sauteed beef cubes</t>
  </si>
  <si>
    <t>Tôm xào cải</t>
  </si>
  <si>
    <t>Crevettes aux légumes Chop-Suey</t>
  </si>
  <si>
    <t>Sauteed shrimps with chop suey vegetables</t>
  </si>
  <si>
    <t>Tôm xào muối tiêu</t>
  </si>
  <si>
    <t>Crevettes sautées au sel et poivre</t>
  </si>
  <si>
    <t>Sauteed shrimps with salt and pepper</t>
  </si>
  <si>
    <t>Tôm xào tỏi</t>
  </si>
  <si>
    <t>Crevettes sautées à l`ail</t>
  </si>
  <si>
    <t>Sauteed shrimps with garlic</t>
  </si>
  <si>
    <t>Mì xào</t>
  </si>
  <si>
    <t>Nouilles jaunes natures</t>
  </si>
  <si>
    <t>Crispy yellow noodles</t>
  </si>
  <si>
    <t>Légumes xào</t>
  </si>
  <si>
    <t>Légumes sautés</t>
  </si>
  <si>
    <t>Trà hoa lài/Trà xanh/Trà Lipton</t>
  </si>
  <si>
    <t>Thé au jasmin/vert/Lipton</t>
  </si>
  <si>
    <t>Jasmine/green /Lipton tea</t>
  </si>
  <si>
    <t>Trà đá</t>
  </si>
  <si>
    <t>Carafe de thé glacé</t>
  </si>
  <si>
    <t>Iced tea</t>
  </si>
  <si>
    <t>Trà đá (grand)</t>
  </si>
  <si>
    <t>Carafe de thé glacé (grand)</t>
  </si>
  <si>
    <t>Iced tea (big)</t>
  </si>
  <si>
    <t>Trà sữa nóng/đá</t>
  </si>
  <si>
    <t>Thé au lait chaud ou glacé</t>
  </si>
  <si>
    <t>Hot or iced milk tea</t>
  </si>
  <si>
    <t>Trà chanh nóng/đá</t>
  </si>
  <si>
    <t>Thé au citron chaud ou glacé</t>
  </si>
  <si>
    <t>Hot or iced lemon tea</t>
  </si>
  <si>
    <t>Chanh muối/xí muội</t>
  </si>
  <si>
    <t>Jus de citron salé/jus de prune salée</t>
  </si>
  <si>
    <t>Salted lemon juice/salted plum juice</t>
  </si>
  <si>
    <t>Perrier chanh muối/Perrier xí muội</t>
  </si>
  <si>
    <t>Perrier avec jus de citron salé/prune salée</t>
  </si>
  <si>
    <t>Salted lemon Perrier/salted plum</t>
  </si>
  <si>
    <t>Sữa đậu nành</t>
  </si>
  <si>
    <t>Lait de soja chaud ou glacé</t>
  </si>
  <si>
    <t>Hot or iced soya milk</t>
  </si>
  <si>
    <t>Perrier (33cl)</t>
  </si>
  <si>
    <t>Coca Cola (33cl)</t>
  </si>
  <si>
    <t>Coca zero (33cl)</t>
  </si>
  <si>
    <t>Orangina (33cl)</t>
  </si>
  <si>
    <t>Evian (50cl)</t>
  </si>
  <si>
    <t>Badoit (50cl)</t>
  </si>
  <si>
    <t>Kir</t>
  </si>
  <si>
    <t>Ricard</t>
  </si>
  <si>
    <t>Martini</t>
  </si>
  <si>
    <t>Whisky</t>
  </si>
  <si>
    <t>Cognac</t>
  </si>
  <si>
    <t>Rhum vieux</t>
  </si>
  <si>
    <t>Mei Kuei Lu</t>
  </si>
  <si>
    <t>Heineken (33cl)</t>
  </si>
  <si>
    <t>Saigon (33cl)</t>
  </si>
  <si>
    <t>Brouilly (75cl)</t>
  </si>
  <si>
    <t>Brouilly, ½ bouteille (37.5cl)</t>
  </si>
  <si>
    <t>Bordeaux supérieur</t>
  </si>
  <si>
    <t>Bordeaux supérieur, ½ bouteille (37.5cl)</t>
  </si>
  <si>
    <t>Côtes du Rhône</t>
  </si>
  <si>
    <t>Côtes du Rhône, ½ bouteille (37.5cl)</t>
  </si>
  <si>
    <t>Saint-Émilion</t>
  </si>
  <si>
    <t>Saint-Émilion grand cru</t>
  </si>
  <si>
    <t>Côtes de Provence (75cl)</t>
  </si>
  <si>
    <t>Côtes de Provence, ½ bouteille (37.5cl)</t>
  </si>
  <si>
    <t>Tavel</t>
  </si>
  <si>
    <t>½ Tavel</t>
  </si>
  <si>
    <t>Pichet Rouge (¼)</t>
  </si>
  <si>
    <t>Jug Red Wine (¼)</t>
  </si>
  <si>
    <t>Pichet Rose (¼)</t>
  </si>
  <si>
    <t>Pichet Rosé (¼)</t>
  </si>
  <si>
    <t>Jug Rosé (¼)</t>
  </si>
  <si>
    <t>Pichet Blanc (¼)</t>
  </si>
  <si>
    <t>Jug White Wine (¼)</t>
  </si>
  <si>
    <t>Pichet Rouge (½)</t>
  </si>
  <si>
    <t>Jug Red Wine (½)</t>
  </si>
  <si>
    <t>Pichet Rose (½)</t>
  </si>
  <si>
    <t>Pichet Rosé (½)</t>
  </si>
  <si>
    <t>Jug Rosé (½)</t>
  </si>
  <si>
    <t>Pichet Blanc (½)</t>
  </si>
  <si>
    <t>Jug White Wine (½)</t>
  </si>
  <si>
    <t>Dừa tươi</t>
  </si>
  <si>
    <t>Jus de noix de coco frais avec copeaux</t>
  </si>
  <si>
    <t>Coconut juice</t>
  </si>
  <si>
    <t>Cam vắt</t>
  </si>
  <si>
    <t>Jus d’orange fraichement pressé</t>
  </si>
  <si>
    <t>Fresh squeezed orange juice</t>
  </si>
  <si>
    <t>Sinh tố dừa mỹ tho</t>
  </si>
  <si>
    <t>Milkshake à la noix de coco</t>
  </si>
  <si>
    <t>Coconut milkshake</t>
  </si>
  <si>
    <t>Sinh tố sầu riêng</t>
  </si>
  <si>
    <t>Milkshake au durian</t>
  </si>
  <si>
    <t>Durian milkshake</t>
  </si>
  <si>
    <t>Sinh tố mít</t>
  </si>
  <si>
    <t>Milkshake au jacquier</t>
  </si>
  <si>
    <t>Jackfruit milkshake</t>
  </si>
  <si>
    <t>Sinh tố mãng cầu</t>
  </si>
  <si>
    <t>Milkshake au corossol</t>
  </si>
  <si>
    <t>Corossol milkshake</t>
  </si>
  <si>
    <t>Sương sa hạt lựu</t>
  </si>
  <si>
    <t>Dessert 3 coleurs: Châtaignes d’eau, fruits du palmier et gelatine de plantes nappé de lait de coco</t>
  </si>
  <si>
    <t>Water chesnuts, paim fruits and plant jello topped with coconut milk</t>
  </si>
  <si>
    <t>Sâm bổ lượng</t>
  </si>
  <si>
    <t>Assortiment de graines de lotus et de longan</t>
  </si>
  <si>
    <t>Assorted lotus seeds and longan fruits</t>
  </si>
  <si>
    <t>Đậu đỏ bánh lọt</t>
  </si>
  <si>
    <t>Gélatine verte nappée d’haricots rouges arrosés de lait de coco</t>
  </si>
  <si>
    <t>Green jello topped with red beans and coconut milk</t>
  </si>
  <si>
    <t>Chè đậu/Chè khoai</t>
  </si>
  <si>
    <t>Haricots blancs ou tarot avec riz gluant nappés de lait de coco</t>
  </si>
  <si>
    <t>White beans or tarot with sticky rice and coconut milk</t>
  </si>
  <si>
    <t>Chè chuối</t>
  </si>
  <si>
    <t>Tapioca, banane nappés de lait de coco et cacahuétes</t>
  </si>
  <si>
    <t>Tapioca, banana with coconut milk and peanuts</t>
  </si>
  <si>
    <t>Mứt gừng</t>
  </si>
  <si>
    <t>Gingembre confit</t>
  </si>
  <si>
    <t>Candied ginger</t>
  </si>
  <si>
    <t>Kẹo mè xửng 3.50</t>
  </si>
  <si>
    <t>Nougat mou au sésame</t>
  </si>
  <si>
    <t>Soft sesame nougat</t>
  </si>
  <si>
    <t>Café đen</t>
  </si>
  <si>
    <t>Expresso</t>
  </si>
  <si>
    <t>Café đá</t>
  </si>
  <si>
    <t>Café glacé sucré</t>
  </si>
  <si>
    <t>Iced black coffee with sugar</t>
  </si>
  <si>
    <t>Café sữa đá</t>
  </si>
  <si>
    <t>Café au lait glacé</t>
  </si>
  <si>
    <t>Iced coffe with milk</t>
  </si>
  <si>
    <t>Café sữa nóng</t>
  </si>
  <si>
    <t>Café au lait chaud</t>
  </si>
  <si>
    <t>Hot coffe with milk</t>
  </si>
  <si>
    <t>Menu Cate</t>
  </si>
  <si>
    <t>Menu Item</t>
  </si>
  <si>
    <t>Cate Index</t>
  </si>
  <si>
    <t>Item Index</t>
  </si>
  <si>
    <t>(dropdown list)</t>
  </si>
  <si>
    <t>(value index, do not modif)</t>
  </si>
  <si>
    <t>UNSIGNED UNIQUE</t>
  </si>
  <si>
    <t xml:space="preserve">`ID_MenuItem` SMALLINT UNSIGNED NOT NULL AUTO_INCREMENT, </t>
  </si>
  <si>
    <t xml:space="preserve">PRIMARY KEY (ID_MenuItem), </t>
  </si>
  <si>
    <t xml:space="preserve">`Txt_Item%Name` VARCHAR(80) , </t>
  </si>
  <si>
    <t xml:space="preserve">`Txt_ItemTitle%Fr` VARCHAR(100) , </t>
  </si>
  <si>
    <t xml:space="preserve">`Txt_ItemTitle%En` VARCHAR(80) , </t>
  </si>
  <si>
    <t xml:space="preserve">`Txt_ItemTitle%Tw` VARCHAR(80) , </t>
  </si>
  <si>
    <t xml:space="preserve">`Txt_ItemTitle%Vn` VARCHAR(80) , </t>
  </si>
  <si>
    <t xml:space="preserve">`Txt_PicName` VARCHAR(20) , </t>
  </si>
  <si>
    <t xml:space="preserve">`Int_Item%Order` SMALLINT UNSIGNED UNIQUE, </t>
  </si>
  <si>
    <t>`Dble_Price` DECIMAL(5,2) );</t>
  </si>
  <si>
    <t xml:space="preserve">`ID_MenuCate` TINYINT UNSIGNED NOT NULL AUTO_INCREMENT, </t>
  </si>
  <si>
    <t xml:space="preserve">PRIMARY KEY (ID_MenuCate), </t>
  </si>
  <si>
    <t xml:space="preserve">`Txt_Cate%Name` VARCHAR(50) , </t>
  </si>
  <si>
    <t xml:space="preserve">`Txt_CateTitle%Fr` VARCHAR(50) , </t>
  </si>
  <si>
    <t xml:space="preserve">`Txt_CateTitle%En` VARCHAR(50) , </t>
  </si>
  <si>
    <t xml:space="preserve">`Txt_CateTitle%Tw` VARCHAR(50) , </t>
  </si>
  <si>
    <t xml:space="preserve">`Txt_CateTitle%Vn` VARCHAR(50) , </t>
  </si>
  <si>
    <t xml:space="preserve">`Txt_PicName` VARCHAR(50) , </t>
  </si>
  <si>
    <t>`Txt_AvailableRating` VARCHAR(3) );</t>
  </si>
  <si>
    <t xml:space="preserve">`ID_MenuCateItem` SMALLINT UNSIGNED NOT NULL AUTO_INCREMENT, </t>
  </si>
  <si>
    <t xml:space="preserve">PRIMARY KEY (ID_MenuCateItem), </t>
  </si>
  <si>
    <t xml:space="preserve">`Id_MenuCate` TINYINT UNSIGNED, </t>
  </si>
  <si>
    <t>`Id_MenuItem` SMALLINT UNSIGNED);</t>
  </si>
  <si>
    <t xml:space="preserve">`ID_Photo` SMALLINT UNSIGNED NOT NULL AUTO_INCREMENT, </t>
  </si>
  <si>
    <t xml:space="preserve">PRIMARY KEY (ID_Photo), </t>
  </si>
  <si>
    <t xml:space="preserve">`Txt_FileName` VARCHAR(20) , </t>
  </si>
  <si>
    <t xml:space="preserve">`Txt_PhotoName` VARCHAR(40) , </t>
  </si>
  <si>
    <t xml:space="preserve">`Txt_Desc%Fr` VARCHAR(150) , </t>
  </si>
  <si>
    <t xml:space="preserve">`Txt_Desc%En` VARCHAR(150) , </t>
  </si>
  <si>
    <t xml:space="preserve">`Txt_Desc%Tw` VARCHAR(150) , </t>
  </si>
  <si>
    <t>`Txt_Desc%Vn` VARCHAR(150) );</t>
  </si>
  <si>
    <t xml:space="preserve">`ID_User` SMALLINT UNSIGNED NOT NULL AUTO_INCREMENT, </t>
  </si>
  <si>
    <t xml:space="preserve">PRIMARY KEY (ID_User), </t>
  </si>
  <si>
    <t xml:space="preserve">`Txt_Login` VARCHAR(16) , </t>
  </si>
  <si>
    <t xml:space="preserve">`Txt_Password` VARCHAR(128) , </t>
  </si>
  <si>
    <t xml:space="preserve">`Txt_First%Name` VARCHAR(25) , </t>
  </si>
  <si>
    <t xml:space="preserve">`Txt_Last%Name` VARCHAR(25) , </t>
  </si>
  <si>
    <t xml:space="preserve">`Txt_Email` VARCHAR(100) , </t>
  </si>
  <si>
    <t>`UpDT_Last&amp;update` TIMESTAMP );</t>
  </si>
  <si>
    <t xml:space="preserve">`ID_MenuRating` SMALLINT UNSIGNED NOT NULL AUTO_INCREMENT, </t>
  </si>
  <si>
    <t xml:space="preserve">PRIMARY KEY (ID_MenuRating), </t>
  </si>
  <si>
    <t xml:space="preserve">`Txt_Name` VARCHAR(30) , </t>
  </si>
  <si>
    <t xml:space="preserve">`Txt_Email` VARCHAR(50) , </t>
  </si>
  <si>
    <t xml:space="preserve">`Txt_Comment` VARCHAR(250) , </t>
  </si>
  <si>
    <t xml:space="preserve">`Int_Rating` TINYINT UNSIGNED, </t>
  </si>
  <si>
    <t>`Txt_Validated` VARCHAR(3) );</t>
  </si>
  <si>
    <t xml:space="preserve">`Int_Cate%Order` SMALLINT UNSIGNED UNIQUE, </t>
  </si>
  <si>
    <t xml:space="preserve">`Int_Photo%Order` SMALLINT UNSIGNED UNIQUE, </t>
  </si>
  <si>
    <t>xsylum</t>
  </si>
  <si>
    <t>CREATE TABLE IF NOT EXISTS `xsylum`.`Phobida_MenuItem` (</t>
  </si>
  <si>
    <t>CREATE TABLE IF NOT EXISTS `xsylum`.`Phobida_MenuCate` (</t>
  </si>
  <si>
    <t>CREATE TABLE IF NOT EXISTS `xsylum`.`Phobida_MenuCateItem` (</t>
  </si>
  <si>
    <t>CREATE TABLE IF NOT EXISTS `xsylum`.`Phobida_Photo` (</t>
  </si>
  <si>
    <t>CREATE TABLE IF NOT EXISTS `xsylum`.`Phobida_UserAccount` (</t>
  </si>
  <si>
    <t>CREATE TABLE IF NOT EXISTS `xsylum`.`Phobida_MenuRating` (</t>
  </si>
  <si>
    <t>INSERT INTO `xsylum`.`Phobida_MenuItem` VALUES('1','Chả giò (nem)','Petits pâtés impériaux au porc, crevettes ou poulet avec salade verte et menthe fraîche','Fried pork, shrimp or chicken spring rolls with green salad and fresh mint','','Chả giò','','1','6');</t>
  </si>
  <si>
    <t>INSERT INTO `xsylum`.`Phobida_MenuItem` VALUES('2','Gỏi đu đủ tôm thịt','Émincé de papaye verte accompagné de crevettes et de porc','Green papaya salad with shrimps and pork','','Gỏi đu đủ tôm thịt','','2','8');</t>
  </si>
  <si>
    <t>INSERT INTO `xsylum`.`Phobida_MenuItem` VALUES('3','Gỏi gà','Salade de poulet et papaye','Chicken and papaya salad','','Gỏi gà','','3','8');</t>
  </si>
  <si>
    <t>INSERT INTO `xsylum`.`Phobida_MenuItem` VALUES('4','hải sản','Salade de fruits de mer','Seafood salad','','hải sản','','4','9');</t>
  </si>
  <si>
    <t>INSERT INTO `xsylum`.`Phobida_MenuItem` VALUES('5','Bò tái chanh','Carpaccio de boeuf façon vietnamienne','Beef carpaccio vietnamese style','','Bò tái chanh','','5','8');</t>
  </si>
  <si>
    <t>INSERT INTO `xsylum`.`Phobida_MenuItem` VALUES('6','Bánh bèo','Mini crêpes de riz à la vapeur aux crevettes séchées','Steamed mini rice pancakes with dry shrimps','','Bánh bèo','','6','6');</t>
  </si>
  <si>
    <t>INSERT INTO `xsylum`.`Phobida_MenuItem` VALUES('7','Bánh cuốn','Raviolis à la vapeur gamis de porc haché et de champignons noirs','Steamed raviolis with minced pork and black mushrooms','','Bánh cuốn','','7','6');</t>
  </si>
  <si>
    <t>INSERT INTO `xsylum`.`Phobida_MenuItem` VALUES('8','Bánh cuốn tôm','Raviolis à la vapeur gamis de crevettes','Steamed raviolis with shrimps','','Bánh cuốn tôm','','8','6');</t>
  </si>
  <si>
    <t>INSERT INTO `xsylum`.`Phobida_MenuItem` VALUES('9','Phở đặc biệt bò viên','Soupe tonkinoise complète: boeuf cuit, bœuf  saignant, tripes, tendon et boulettes de bœuf (petit)','Complete Vietnamese beef noodle soup with beef ball (small)','','Phở đặc biệt bò viên','','9','7,5');</t>
  </si>
  <si>
    <t>INSERT INTO `xsylum`.`Phobida_MenuItem` VALUES('10','Phở gà','Soupe tonkinoise au poulet (petit)','Chicken noodle soup','','Phở gà','','10','7,5');</t>
  </si>
  <si>
    <t>INSERT INTO `xsylum`.`Phobida_MenuItem` VALUES('11','Hủ tiếu Mỹ Tho','Soupe saigonnaise gamie de poulet, crevettes, porc et oeufs de caille (petit)','Saigonese noodle soup with chicken, shrimps, pork and quail eggs','','Hủ tiếu Mỹ Tho','','11','7,5');</t>
  </si>
  <si>
    <t>INSERT INTO `xsylum`.`Phobida_MenuItem` VALUES('12','Bún bò Huế','Soupe impériale de boeuf pimenté de Hue (petit)','Hue spicy beef noodle soup','','Bún bò Huế','','12','7,5');</t>
  </si>
  <si>
    <t>INSERT INTO `xsylum`.`Phobida_MenuItem` VALUES('13','Phở đặc biệt bò viên (grand)','Soupe tonkinoise complète: boeuf cuit, bœuf saignant, tripes, tendon et boulettes de bœuf (grand)','Complete Vietnamese beef noodle soup with beef ball','','Phở đặc biệt bò viên','','13','8');</t>
  </si>
  <si>
    <t>INSERT INTO `xsylum`.`Phobida_MenuItem` VALUES('14','Phở gà (grand)','Soupe tonkinoise au poulet (grand)','Chicken noodle soup','','Phở gà','','14','8');</t>
  </si>
  <si>
    <t>INSERT INTO `xsylum`.`Phobida_MenuItem` VALUES('15','Hủ tiếu Mỹ Tho (grand)','Soupe saigonnaise gamie de poulet, crevettes, porc et oeufs de caille (grand)','Saigonese noodle soup with chicken, shrimps, pork and quail eggs','','Hủ tiếu Mỹ Tho','','15','8');</t>
  </si>
  <si>
    <t>INSERT INTO `xsylum`.`Phobida_MenuItem` VALUES('16','Bún bò Huế (grand)','Soupe impériale de boeuf pimenté de Hue (grand)','Hue spicy beef noodle soup','','Bún bò Huế','','16','8');</t>
  </si>
  <si>
    <t>INSERT INTO `xsylum`.`Phobida_MenuItem` VALUES('17','Cháo lòng','Soupe de riz aux abats','Rice congee with offals','','Cháo lòng','','17','8');</t>
  </si>
  <si>
    <t>INSERT INTO `xsylum`.`Phobida_MenuItem` VALUES('18','Cháo gà','Soupe de riz aux poulet','Rice congee with chicken','','Cháo gà','','18','8,5');</t>
  </si>
  <si>
    <t>INSERT INTO `xsylum`.`Phobida_MenuItem` VALUES('19','Bún riêu','Soupe de vermicelles aux étrilles avec ou sans boudin vietnamien','Vermicelli soup with crab','','Bún riêu','','19','8');</t>
  </si>
  <si>
    <t>INSERT INTO `xsylum`.`Phobida_MenuItem` VALUES('20','Bún bò nướng chả giò (bò bún)','Vermicelles de riz au boeuf grillé et pâtés impériaux','Rice vermicelli with grilled beef and spring rolls','','Bún bò nướng chả giò (bò bún)','','20','8');</t>
  </si>
  <si>
    <t>INSERT INTO `xsylum`.`Phobida_MenuItem` VALUES('21','Bún heo nướng chả giò','Vermicelles de riz au porc grillé et pâtés impériaux','Rice vermicelli with grilled pork and spring rolls','','Bún heo nướng chả giò','','21','8');</t>
  </si>
  <si>
    <t>INSERT INTO `xsylum`.`Phobida_MenuItem` VALUES('22','Bún bì chả giò','Vermicelles de riz au porc émincé et pâtés impériaux','Rice vermicelli with minced pork and spring rolls','','Bún bì chả giò','','22','8');</t>
  </si>
  <si>
    <t>INSERT INTO `xsylum`.`Phobida_MenuItem` VALUES('23','Bún bì nem chua chả giò','Vermicelles de riz avec porc émincé, carrés de porc mariné et pâté impériaux','Rice vermicelli with minced pork chine, sour pork and spring rolls','','Bún bì nem chua chả giò','','23','8');</t>
  </si>
  <si>
    <t>INSERT INTO `xsylum`.`Phobida_MenuItem` VALUES('24','Bún sườn chả giò','Vermicelles de riz à l’ échine de porc grillée et pâtés impériaux au porc','Rice vermicelli with grilled pork and spring rolls','','Bún sườn chả giò','','24','8');</t>
  </si>
  <si>
    <t>INSERT INTO `xsylum`.`Phobida_MenuItem` VALUES('25','Bún gà chả giò gà','Vermicelles de riz au poulet et pâtés imprériaux au poulet','Rice vermicelli with chicken and chicken spring rolls','','Bún gà chả giò gà','','25','8');</t>
  </si>
  <si>
    <t>INSERT INTO `xsylum`.`Phobida_MenuItem` VALUES('26','Bún chả Hà Nội','Vermicelles de riz au porc grillé et salade (spécialité Hanoienne)','Rice vemicelli with grilled pork and salad (Hanoi specialty)','','Bún chả Hà Nội','','26','8,5');</t>
  </si>
  <si>
    <t>INSERT INTO `xsylum`.`Phobida_MenuItem` VALUES('27','Bò lá lốt','Brochette de boeuf roulée dans sa feuille « la lot »','Beef brochette in its « la lot » leaf','','Bò lá lốt','','27','9,5');</t>
  </si>
  <si>
    <t>INSERT INTO `xsylum`.`Phobida_MenuItem` VALUES('28','Cơm sườn bì chả','Plat de riz accompagné de porc émincé, d’échine de porc et d’un pâté vietnamien','Rice plate with minced pork, pork chine and vietnamese pate','','Cơm sườn bì chả','','28','8,5');</t>
  </si>
  <si>
    <t>INSERT INTO `xsylum`.`Phobida_MenuItem` VALUES('29','Cơm thịt heo kho trứng','Plat de riz au porc et oeufs au caramel','Rice plate with caramelised pork ribs','','Cơm thịt heo kho trứng','','29','7,5');</t>
  </si>
  <si>
    <t>INSERT INTO `xsylum`.`Phobida_MenuItem` VALUES('30','Cơm sườn ram','Plat de riz aux traves de porc caramélisés','Rice plate with caramelised pork ribs','','Cơm sườn ram','','30','7,5');</t>
  </si>
  <si>
    <t>INSERT INTO `xsylum`.`Phobida_MenuItem` VALUES('31','Cơm gà bò nướng','Plat de riz avec grillades de poulet et de boeuf','Rice plate with grilled chicken and beef','','Cơm gà bò nướng','','31','8');</t>
  </si>
  <si>
    <t>INSERT INTO `xsylum`.`Phobida_MenuItem` VALUES('32','Cơm cá kho','Plat de riz au poisson caramélisés','Rice plate with caramelised fish','','Cơm cá kho','','32','7,5');</t>
  </si>
  <si>
    <t>INSERT INTO `xsylum`.`Phobida_MenuItem` VALUES('33','Cơm sườn nướng','Plat de riz à l’échine de porc grillé','Rice plate with grilled pork chine','','Cơm sườn nướng','','33','7,8');</t>
  </si>
  <si>
    <t>INSERT INTO `xsylum`.`Phobida_MenuItem` VALUES('34','Cơm gà thịt heo nướng','Plat de riz avec grillades de poulet et de porc','Rice plate with grilled chicken and pork','','Cơm gà thịt heo nướng','','34','8');</t>
  </si>
  <si>
    <t>INSERT INTO `xsylum`.`Phobida_MenuItem` VALUES('35','Cơm thịt heo nướng','Plat de riz accompagné de grillades de porc','Rice plate wit grilled pork','','Cơm thịt heo nướng','','35','7,5');</t>
  </si>
  <si>
    <t>INSERT INTO `xsylum`.`Phobida_MenuItem` VALUES('36','Cơm gà nướng sả','Plat de riz au poulet grillé et parfumé à la citronnelle','Rice plate with grilled lemongrass chicken','','Cơm gà nướng sả','','36','7,5');</t>
  </si>
  <si>
    <t>INSERT INTO `xsylum`.`Phobida_MenuItem` VALUES('37','Cơm bò nướng','Plat de riz accompagné de grillades de boeuf','Rice plate with grilled beefs','','Cơm bò nướng','','37','7,5');</t>
  </si>
  <si>
    <t>INSERT INTO `xsylum`.`Phobida_MenuItem` VALUES('38','Cơm sườn bì','Plat de riz à l`échine grillée et couenne de porc émincé','Rice plate with grilled pork chine and minced pork rind','','Cơm sườn bì','','38','8');</t>
  </si>
  <si>
    <t>INSERT INTO `xsylum`.`Phobida_MenuItem` VALUES('39','Cơm gà bì','Plat de riz au poulet grillé et covenne de porc émincé','Rice plate with grilled chicken and minced pork rind','','Cơm gà bì','','39','8');</t>
  </si>
  <si>
    <t>INSERT INTO `xsylum`.`Phobida_MenuItem` VALUES('40','Cơm trắng','Riz blanc','White steamed rice','','Cơm trắng','','40','1,7');</t>
  </si>
  <si>
    <t>INSERT INTO `xsylum`.`Phobida_MenuItem` VALUES('41','Mì xào tôm','Nouilles jaunes sautées aux crevettes','Yellow noodles sauteed with shrimps','','Mì xào tôm','','41','8');</t>
  </si>
  <si>
    <t>INSERT INTO `xsylum`.`Phobida_MenuItem` VALUES('42','Mì xào dòn bò','ouilles jaunes croustillantes accompagnées de boeuf et de légumes','Crispy yellow noodles topped with assorted beef and vegetables','','Mì xào dòn bò','','42','8,5');</t>
  </si>
  <si>
    <t>INSERT INTO `xsylum`.`Phobida_MenuItem` VALUES('43','Mì xào dòn tôm','Nouilles jaunes croustillantes accompagnées de crevettes et de légumes','Crispy yellow noodles topped with assorted shrimps and vegetables','','Mì xào dòn tôm','','43','8,5');</t>
  </si>
  <si>
    <t>INSERT INTO `xsylum`.`Phobida_MenuItem` VALUES('44','Cơm bò lúc lắc','Riz accompagné de boeuf «luc lac»','Rice with sauteed beef cubes','','Cơm bò lúc lắc','','44','8,5');</t>
  </si>
  <si>
    <t>INSERT INTO `xsylum`.`Phobida_MenuItem` VALUES('45','Tôm xào cải','Crevettes aux légumes Chop-Suey','Sauteed shrimps with chop suey vegetables','','Tôm xào cải','','45','8');</t>
  </si>
  <si>
    <t>INSERT INTO `xsylum`.`Phobida_MenuItem` VALUES('46','Tôm xào muối tiêu','Crevettes sautées au sel et poivre','Sauteed shrimps with salt and pepper','','Tôm xào muối tiêu','','46','8');</t>
  </si>
  <si>
    <t>INSERT INTO `xsylum`.`Phobida_MenuItem` VALUES('47','Tôm xào tỏi','Crevettes sautées à l`ail','Sauteed shrimps with garlic','','Tôm xào tỏi','','47','8');</t>
  </si>
  <si>
    <t>INSERT INTO `xsylum`.`Phobida_MenuItem` VALUES('48','Mì xào','Nouilles jaunes natures','Crispy yellow noodles','','Mì xào','','48','5');</t>
  </si>
  <si>
    <t>INSERT INTO `xsylum`.`Phobida_MenuItem` VALUES('49','Légumes xào','Légumes sautés','','','','','49','5');</t>
  </si>
  <si>
    <t>INSERT INTO `xsylum`.`Phobida_MenuItem` VALUES('50','Trà hoa lài/Trà xanh/Trà Lipton','Thé au jasmin/vert/Lipton','Jasmine/green /Lipton tea','','Trà hoa lài/Trà xanh/Trà Lipton','','50','1,5');</t>
  </si>
  <si>
    <t>INSERT INTO `xsylum`.`Phobida_MenuItem` VALUES('51','Trà đá','Carafe de thé glacé','Iced tea','','Trà đá','','51','1,5');</t>
  </si>
  <si>
    <t>INSERT INTO `xsylum`.`Phobida_MenuItem` VALUES('52','Trà đá (grand)','Carafe de thé glacé (grand)','Iced tea (big)','','Trà đá','','52','3');</t>
  </si>
  <si>
    <t>INSERT INTO `xsylum`.`Phobida_MenuItem` VALUES('53','Trà sữa nóng/đá','Thé au lait chaud ou glacé','Hot or iced milk tea','','Trà sữa nóng/đá','','53','3,5');</t>
  </si>
  <si>
    <t>INSERT INTO `xsylum`.`Phobida_MenuItem` VALUES('54','Trà chanh nóng/đá','Thé au citron chaud ou glacé','Hot or iced lemon tea','','Trà chanh nóng/đá','','54','3,5');</t>
  </si>
  <si>
    <t>INSERT INTO `xsylum`.`Phobida_MenuItem` VALUES('55','Chanh muối/xí muội','Jus de citron salé/jus de prune salée','Salted lemon juice/salted plum juice','','Chanh muối/xí muội','','55','3,5');</t>
  </si>
  <si>
    <t>INSERT INTO `xsylum`.`Phobida_MenuItem` VALUES('56','Perrier chanh muối/Perrier xí muội','Perrier avec jus de citron salé/prune salée','Salted lemon Perrier/salted plum','','Perrier chanh muối/Perrier xí muội','','56','4,5');</t>
  </si>
  <si>
    <t>INSERT INTO `xsylum`.`Phobida_MenuItem` VALUES('57','Sữa đậu nành','Lait de soja chaud ou glacé','Hot or iced soya milk','','Sữa đậu nành','','57','3,5');</t>
  </si>
  <si>
    <t>INSERT INTO `xsylum`.`Phobida_MenuItem` VALUES('58','Perrier (33cl)','Perrier (33cl)','Perrier (33cl)','','Perrier (33cl)','','58','3');</t>
  </si>
  <si>
    <t>INSERT INTO `xsylum`.`Phobida_MenuItem` VALUES('59','Coca Cola (33cl)','Coca Cola (33cl)','Coca Cola (33cl)','','Coca Cola (33cl)','','59','3');</t>
  </si>
  <si>
    <t>INSERT INTO `xsylum`.`Phobida_MenuItem` VALUES('60','Coca zero (33cl)','Coca zero (33cl)','Coca zero (33cl)','','Coca zero (33cl)','','60','3');</t>
  </si>
  <si>
    <t>INSERT INTO `xsylum`.`Phobida_MenuItem` VALUES('61','Orangina (33cl)','Orangina (33cl)','Orangina (33cl)','','Orangina (33cl)','','61','3');</t>
  </si>
  <si>
    <t>INSERT INTO `xsylum`.`Phobida_MenuItem` VALUES('62','Evian (50cl)','Evian (50cl)','Evian (50cl)','','Evian (50cl)','','62','3');</t>
  </si>
  <si>
    <t>INSERT INTO `xsylum`.`Phobida_MenuItem` VALUES('63','Badoit (50cl)','Badoit (50cl)','Badoit (50cl)','','Badoit (50cl)','','63','3');</t>
  </si>
  <si>
    <t>INSERT INTO `xsylum`.`Phobida_MenuItem` VALUES('64','Kir','Kir','Kir','','','','64','4');</t>
  </si>
  <si>
    <t>INSERT INTO `xsylum`.`Phobida_MenuItem` VALUES('65','Ricard','Ricard','Ricard','','','','65','5');</t>
  </si>
  <si>
    <t>INSERT INTO `xsylum`.`Phobida_MenuItem` VALUES('66','Martini','Martini','Martini','','','','66','5');</t>
  </si>
  <si>
    <t>INSERT INTO `xsylum`.`Phobida_MenuItem` VALUES('67','Whisky','Whisky','Whisky','','','','67','6');</t>
  </si>
  <si>
    <t>INSERT INTO `xsylum`.`Phobida_MenuItem` VALUES('68','Cognac','Cognac','Cognac','','','','68','6');</t>
  </si>
  <si>
    <t>INSERT INTO `xsylum`.`Phobida_MenuItem` VALUES('69','Rhum vieux','Rhum vieux','Rhum vieux','','','','69','6');</t>
  </si>
  <si>
    <t>INSERT INTO `xsylum`.`Phobida_MenuItem` VALUES('70','Mei Kuei Lu','Mei Kuei Lu','Mei Kuei Lu','','','','70','6');</t>
  </si>
  <si>
    <t>INSERT INTO `xsylum`.`Phobida_MenuItem` VALUES('71','Heineken (33cl)','Heineken (33cl)','Heineken (33cl)','','','','71','3,5');</t>
  </si>
  <si>
    <t>INSERT INTO `xsylum`.`Phobida_MenuItem` VALUES('72','Saigon (33cl)','Saigon (33cl)','Saigon (33cl)','','','','72','3,5');</t>
  </si>
  <si>
    <t>INSERT INTO `xsylum`.`Phobida_MenuItem` VALUES('73','Brouilly (75cl)','Brouilly (75cl)','Brouilly (75cl)','','','','73','17');</t>
  </si>
  <si>
    <t>INSERT INTO `xsylum`.`Phobida_MenuItem` VALUES('74','Brouilly, ½ bouteille (37.5cl)','Brouilly, ½ bouteille (37.5cl)','Brouilly, ½ bouteille (37.5cl)','','','','74','12');</t>
  </si>
  <si>
    <t>INSERT INTO `xsylum`.`Phobida_MenuItem` VALUES('75','Bordeaux supérieur','Bordeaux supérieur','Bordeaux supérieur','','','','75','17');</t>
  </si>
  <si>
    <t>INSERT INTO `xsylum`.`Phobida_MenuItem` VALUES('76','Bordeaux supérieur, ½ bouteille (37.5cl)','Bordeaux supérieur, ½ bouteille (37.5cl)','Bordeaux supérieur, ½ bouteille (37.5cl)','','','','76','12');</t>
  </si>
  <si>
    <t>INSERT INTO `xsylum`.`Phobida_MenuItem` VALUES('77','Côtes du Rhône','Côtes du Rhône','Côtes du Rhône','','','','77','17');</t>
  </si>
  <si>
    <t>INSERT INTO `xsylum`.`Phobida_MenuItem` VALUES('78','Côtes du Rhône, ½ bouteille (37.5cl)','Côtes du Rhône, ½ bouteille (37.5cl)','Côtes du Rhône, ½ bouteille (37.5cl)','','','','78','12');</t>
  </si>
  <si>
    <t>INSERT INTO `xsylum`.`Phobida_MenuItem` VALUES('79','Saint-Émilion','Saint-Émilion','Saint-Émilion','','','','79','20');</t>
  </si>
  <si>
    <t>INSERT INTO `xsylum`.`Phobida_MenuItem` VALUES('80','Saint-Émilion grand cru','Saint-Émilion grand cru','Saint-Émilion grand cru','','','','80','30');</t>
  </si>
  <si>
    <t>INSERT INTO `xsylum`.`Phobida_MenuItem` VALUES('81','Côtes de Provence (75cl)','Côtes de Provence (75cl)','Côtes de Provence (75cl)','','','','81','15');</t>
  </si>
  <si>
    <t>INSERT INTO `xsylum`.`Phobida_MenuItem` VALUES('82','Côtes de Provence, ½ bouteille (37.5cl)','Côtes de Provence, ½ bouteille (37.5cl)','Côtes de Provence, ½ bouteille (37.5cl)','','','','82','10');</t>
  </si>
  <si>
    <t>INSERT INTO `xsylum`.`Phobida_MenuItem` VALUES('83','Tavel','Tavel','Tavel','','','','83','20');</t>
  </si>
  <si>
    <t>INSERT INTO `xsylum`.`Phobida_MenuItem` VALUES('84','½ Tavel','½ Tavel','½ Tavel','','','','84','15');</t>
  </si>
  <si>
    <t>INSERT INTO `xsylum`.`Phobida_MenuItem` VALUES('85','Pichet Rouge (¼)','Pichet Rouge (¼)','Jug Red Wine (¼)','','','','85','1,5');</t>
  </si>
  <si>
    <t>INSERT INTO `xsylum`.`Phobida_MenuItem` VALUES('86','Pichet Rose (¼)','Pichet Rosé (¼)','Jug Rosé (¼)','','','','86','1,5');</t>
  </si>
  <si>
    <t>INSERT INTO `xsylum`.`Phobida_MenuItem` VALUES('87','Pichet Blanc (¼)','Pichet Blanc (¼)','Jug White Wine (¼)','','','','87','1,5');</t>
  </si>
  <si>
    <t>INSERT INTO `xsylum`.`Phobida_MenuItem` VALUES('88','Pichet Rouge (½)','Pichet Rouge (½)','Jug Red Wine (½)','','','','88','4');</t>
  </si>
  <si>
    <t>INSERT INTO `xsylum`.`Phobida_MenuItem` VALUES('89','Pichet Rose (½)','Pichet Rosé (½)','Jug Rosé (½)','','','','89','4');</t>
  </si>
  <si>
    <t>INSERT INTO `xsylum`.`Phobida_MenuItem` VALUES('90','Pichet Blanc (½)','Pichet Blanc (½)','Jug White Wine (½)','','','','90','4');</t>
  </si>
  <si>
    <t>INSERT INTO `xsylum`.`Phobida_MenuItem` VALUES('91','Dừa tươi','Jus de noix de coco frais avec copeaux','Coconut juice','','','','91','3,5');</t>
  </si>
  <si>
    <t>INSERT INTO `xsylum`.`Phobida_MenuItem` VALUES('92','Cam vắt','Jus d’orange fraichement pressé','Fresh squeezed orange juice','','Cam vắt','','92','3,5');</t>
  </si>
  <si>
    <t>INSERT INTO `xsylum`.`Phobida_MenuItem` VALUES('93','Sinh tố dừa mỹ tho','Milkshake à la noix de coco','Coconut milkshake','','Sinh tố dừa mỹ tho','','93','3,5');</t>
  </si>
  <si>
    <t>INSERT INTO `xsylum`.`Phobida_MenuItem` VALUES('94','Sinh tố sầu riêng','Milkshake au durian','Durian milkshake','','Sinh tố sầu riêng','','94','3,5');</t>
  </si>
  <si>
    <t>INSERT INTO `xsylum`.`Phobida_MenuItem` VALUES('95','Sinh tố mít','Milkshake au jacquier','Jackfruit milkshake','','Sinh tố mít','','95','3,5');</t>
  </si>
  <si>
    <t>INSERT INTO `xsylum`.`Phobida_MenuItem` VALUES('96','Sinh tố mãng cầu','Milkshake au corossol','Corossol milkshake','','Sinh tố mãng cầu','','96','3,5');</t>
  </si>
  <si>
    <t>INSERT INTO `xsylum`.`Phobida_MenuItem` VALUES('97','Sương sa hạt lựu','Dessert 3 coleurs: Châtaignes d’eau, fruits du palmier et gelatine de plantes nappé de lait de coco','Water chesnuts, paim fruits and plant jello topped with coconut milk','','Sương sa hạt lựu','','97','3,5');</t>
  </si>
  <si>
    <t>INSERT INTO `xsylum`.`Phobida_MenuItem` VALUES('98','Sâm bổ lượng','Assortiment de graines de lotus et de longan','Assorted lotus seeds and longan fruits','','Sâm bổ lượng','','98','3,5');</t>
  </si>
  <si>
    <t>INSERT INTO `xsylum`.`Phobida_MenuItem` VALUES('99','Đậu đỏ bánh lọt','Gélatine verte nappée d’haricots rouges arrosés de lait de coco','Green jello topped with red beans and coconut milk','','Đậu đỏ bánh lọt','','99','3,5');</t>
  </si>
  <si>
    <t>INSERT INTO `xsylum`.`Phobida_MenuItem` VALUES('100','Chè đậu/Chè khoai','Haricots blancs ou tarot avec riz gluant nappés de lait de coco','White beans or tarot with sticky rice and coconut milk','','Chè đậu/Chè khoai','','100','3,5');</t>
  </si>
  <si>
    <t>INSERT INTO `xsylum`.`Phobida_MenuItem` VALUES('101','Chè chuối','Tapioca, banane nappés de lait de coco et cacahuétes','Tapioca, banana with coconut milk and peanuts','','Chè chuối','','101','3,5');</t>
  </si>
  <si>
    <t>INSERT INTO `xsylum`.`Phobida_MenuItem` VALUES('102','Mứt gừng','Gingembre confit','Candied ginger','','Mứt gừng','','102','3,5');</t>
  </si>
  <si>
    <t>INSERT INTO `xsylum`.`Phobida_MenuItem` VALUES('103','Kẹo mè xửng 3.50','Nougat mou au sésame','Soft sesame nougat','','Kẹo mè xửng 3.50','','103','3,5');</t>
  </si>
  <si>
    <t>INSERT INTO `xsylum`.`Phobida_MenuItem` VALUES('104','Café đen','Expresso','Expresso','','Café đen','','104','1,5');</t>
  </si>
  <si>
    <t>INSERT INTO `xsylum`.`Phobida_MenuItem` VALUES('105','Café đá','Café glacé sucré','Iced black coffee with sugar','','Café đá','','105','3,5');</t>
  </si>
  <si>
    <t>INSERT INTO `xsylum`.`Phobida_MenuItem` VALUES('106','Café sữa đá','Café au lait glacé','Iced coffe with milk','','Café sữa đá','','106','3,5');</t>
  </si>
  <si>
    <t>INSERT INTO `xsylum`.`Phobida_MenuItem` VALUES('107','Café sữa nóng','Café au lait chaud','Hot coffe with milk','','Café sữa nóng','','107','3,5');</t>
  </si>
  <si>
    <t>INSERT INTO `xsylum`.`Phobida_MenuCate` VALUES('1','Entrées','Entrées','Starters','','','phobida_menu_entree.png','1','No');</t>
  </si>
  <si>
    <t>INSERT INTO `xsylum`.`Phobida_MenuCate` VALUES('2','Phở','Phở - Soupes','Soup','','','phobida_menu_pho.png','2','No');</t>
  </si>
  <si>
    <t>INSERT INTO `xsylum`.`Phobida_MenuCate` VALUES('3','Cháo','Cháo - Bouillie de riz','Cháo','','','phobida_menu_chao.png','3','No');</t>
  </si>
  <si>
    <t>INSERT INTO `xsylum`.`Phobida_MenuCate` VALUES('4','Bún','Bún - Vermicelles de riz','Bún','','','phobida_menu_bun.png','4','No');</t>
  </si>
  <si>
    <t>INSERT INTO `xsylum`.`Phobida_MenuCate` VALUES('5','Cơm dĩa','Cơm dĩa - Plats de riz garnis','Cơm dĩa','','','phobida_menu_com_dia.png','5','No');</t>
  </si>
  <si>
    <t>INSERT INTO `xsylum`.`Phobida_MenuCate` VALUES('6','Món tối','Món tối - Plats servis le soir uniquement','Món tối - Diner only meals','','','phobida_menu_bun.png','6','No');</t>
  </si>
  <si>
    <t>INSERT INTO `xsylum`.`Phobida_MenuCate` VALUES('7','Boissons','Boissons','Drink','','','phobida_menu_bun.png','7','No');</t>
  </si>
  <si>
    <t>INSERT INTO `xsylum`.`Phobida_MenuCate` VALUES('8','Apéritifs &amp; Digestifs','Apéritifs &amp; Digestifs','','','','phobida_menu_bun.png','8','No');</t>
  </si>
  <si>
    <t>INSERT INTO `xsylum`.`Phobida_MenuCate` VALUES('9','Bières','Bières','Beer','','','phobida_menu_bun.png','9','No');</t>
  </si>
  <si>
    <t>INSERT INTO `xsylum`.`Phobida_MenuCate` VALUES('10','Vins Rouges','Vins Rouges','Red Wines','','','phobida_menu_bun.png','10','No');</t>
  </si>
  <si>
    <t>INSERT INTO `xsylum`.`Phobida_MenuCate` VALUES('11','Vins Rosés','Vins Rosés','Rose Wine','','','phobida_menu_bun.png','11','No');</t>
  </si>
  <si>
    <t>INSERT INTO `xsylum`.`Phobida_MenuCate` VALUES('12','Vins Pichets','Vins Pichets','','','','phobida_menu_bun.png','12','No');</t>
  </si>
  <si>
    <t>INSERT INTO `xsylum`.`Phobida_MenuCate` VALUES('13','Boissons fruitées','Boissons fruitées','Fruit drinks','','','phobida_menu_bun.png','13','No');</t>
  </si>
  <si>
    <t>INSERT INTO `xsylum`.`Phobida_MenuCate` VALUES('14','Milkshakes','Milkshakes','Milkshakes','','','phobida_menu_bun.png','14','No');</t>
  </si>
  <si>
    <t>INSERT INTO `xsylum`.`Phobida_MenuCate` VALUES('15','Desserts','Desserts','Desert','','','phobida_menu_bun.png','15','No');</t>
  </si>
  <si>
    <t>INSERT INTO `xsylum`.`Phobida_MenuCate` VALUES('16','Café','Café','Coffee','','','phobida_menu_bun.png','16','No');</t>
  </si>
  <si>
    <t>INSERT INTO `xsylum`.`Phobida_MenuCateItem` VALUES('1','1','1');</t>
  </si>
  <si>
    <t>INSERT INTO `xsylum`.`Phobida_MenuCateItem` VALUES('2','1','2');</t>
  </si>
  <si>
    <t>INSERT INTO `xsylum`.`Phobida_MenuCateItem` VALUES('3','1','3');</t>
  </si>
  <si>
    <t>INSERT INTO `xsylum`.`Phobida_MenuCateItem` VALUES('4','1','4');</t>
  </si>
  <si>
    <t>INSERT INTO `xsylum`.`Phobida_MenuCateItem` VALUES('5','1','5');</t>
  </si>
  <si>
    <t>INSERT INTO `xsylum`.`Phobida_MenuCateItem` VALUES('6','2','6');</t>
  </si>
  <si>
    <t>INSERT INTO `xsylum`.`Phobida_MenuCateItem` VALUES('7','2','7');</t>
  </si>
  <si>
    <t>INSERT INTO `xsylum`.`Phobida_MenuCateItem` VALUES('8','2','8');</t>
  </si>
  <si>
    <t>INSERT INTO `xsylum`.`Phobida_MenuCateItem` VALUES('9','2','9');</t>
  </si>
  <si>
    <t>INSERT INTO `xsylum`.`Phobida_MenuCateItem` VALUES('10','2','10');</t>
  </si>
  <si>
    <t>INSERT INTO `xsylum`.`Phobida_MenuCateItem` VALUES('11','2','11');</t>
  </si>
  <si>
    <t>INSERT INTO `xsylum`.`Phobida_MenuCateItem` VALUES('12','2','12');</t>
  </si>
  <si>
    <t>INSERT INTO `xsylum`.`Phobida_MenuCateItem` VALUES('13','2','13');</t>
  </si>
  <si>
    <t>INSERT INTO `xsylum`.`Phobida_MenuCateItem` VALUES('14','3','14');</t>
  </si>
  <si>
    <t>INSERT INTO `xsylum`.`Phobida_MenuCateItem` VALUES('15','3','15');</t>
  </si>
  <si>
    <t>INSERT INTO `xsylum`.`Phobida_MenuCateItem` VALUES('16','4','16');</t>
  </si>
  <si>
    <t>INSERT INTO `xsylum`.`Phobida_MenuCateItem` VALUES('17','4','17');</t>
  </si>
  <si>
    <t>INSERT INTO `xsylum`.`Phobida_MenuCateItem` VALUES('18','4','18');</t>
  </si>
  <si>
    <t>INSERT INTO `xsylum`.`Phobida_MenuCateItem` VALUES('19','4','19');</t>
  </si>
  <si>
    <t>INSERT INTO `xsylum`.`Phobida_MenuCateItem` VALUES('20','4','20');</t>
  </si>
  <si>
    <t>INSERT INTO `xsylum`.`Phobida_MenuCateItem` VALUES('21','4','21');</t>
  </si>
  <si>
    <t>INSERT INTO `xsylum`.`Phobida_MenuCateItem` VALUES('22','4','22');</t>
  </si>
  <si>
    <t>INSERT INTO `xsylum`.`Phobida_MenuCateItem` VALUES('23','4','23');</t>
  </si>
  <si>
    <t>INSERT INTO `xsylum`.`Phobida_MenuCateItem` VALUES('24','4','24');</t>
  </si>
  <si>
    <t>INSERT INTO `xsylum`.`Phobida_MenuCateItem` VALUES('25','5','25');</t>
  </si>
  <si>
    <t>INSERT INTO `xsylum`.`Phobida_MenuCateItem` VALUES('26','5','26');</t>
  </si>
  <si>
    <t>INSERT INTO `xsylum`.`Phobida_MenuCateItem` VALUES('27','5','27');</t>
  </si>
  <si>
    <t>INSERT INTO `xsylum`.`Phobida_MenuCateItem` VALUES('28','5','28');</t>
  </si>
  <si>
    <t>INSERT INTO `xsylum`.`Phobida_MenuCateItem` VALUES('29','5','29');</t>
  </si>
  <si>
    <t>INSERT INTO `xsylum`.`Phobida_MenuCateItem` VALUES('30','5','30');</t>
  </si>
  <si>
    <t>INSERT INTO `xsylum`.`Phobida_MenuCateItem` VALUES('31','5','31');</t>
  </si>
  <si>
    <t>INSERT INTO `xsylum`.`Phobida_MenuCateItem` VALUES('32','5','32');</t>
  </si>
  <si>
    <t>INSERT INTO `xsylum`.`Phobida_MenuCateItem` VALUES('33','5','33');</t>
  </si>
  <si>
    <t>INSERT INTO `xsylum`.`Phobida_MenuCateItem` VALUES('34','5','34');</t>
  </si>
  <si>
    <t>INSERT INTO `xsylum`.`Phobida_MenuCateItem` VALUES('35','5','35');</t>
  </si>
  <si>
    <t>INSERT INTO `xsylum`.`Phobida_MenuCateItem` VALUES('36','5','36');</t>
  </si>
  <si>
    <t>INSERT INTO `xsylum`.`Phobida_MenuCateItem` VALUES('37','5','37');</t>
  </si>
  <si>
    <t>INSERT INTO `xsylum`.`Phobida_MenuCateItem` VALUES('38','6','38');</t>
  </si>
  <si>
    <t>INSERT INTO `xsylum`.`Phobida_MenuCateItem` VALUES('39','6','39');</t>
  </si>
  <si>
    <t>INSERT INTO `xsylum`.`Phobida_MenuCateItem` VALUES('40','6','40');</t>
  </si>
  <si>
    <t>INSERT INTO `xsylum`.`Phobida_MenuCateItem` VALUES('41','6','41');</t>
  </si>
  <si>
    <t>INSERT INTO `xsylum`.`Phobida_MenuCateItem` VALUES('42','6','42');</t>
  </si>
  <si>
    <t>INSERT INTO `xsylum`.`Phobida_MenuCateItem` VALUES('43','6','43');</t>
  </si>
  <si>
    <t>INSERT INTO `xsylum`.`Phobida_MenuCateItem` VALUES('44','6','44');</t>
  </si>
  <si>
    <t>INSERT INTO `xsylum`.`Phobida_MenuCateItem` VALUES('45','6','45');</t>
  </si>
  <si>
    <t>INSERT INTO `xsylum`.`Phobida_MenuCateItem` VALUES('46','6','46');</t>
  </si>
  <si>
    <t>INSERT INTO `xsylum`.`Phobida_MenuCateItem` VALUES('47','7','47');</t>
  </si>
  <si>
    <t>INSERT INTO `xsylum`.`Phobida_MenuCateItem` VALUES('48','7','48');</t>
  </si>
  <si>
    <t>INSERT INTO `xsylum`.`Phobida_MenuCateItem` VALUES('49','7','49');</t>
  </si>
  <si>
    <t>INSERT INTO `xsylum`.`Phobida_MenuCateItem` VALUES('50','7','50');</t>
  </si>
  <si>
    <t>INSERT INTO `xsylum`.`Phobida_MenuCateItem` VALUES('51','7','51');</t>
  </si>
  <si>
    <t>INSERT INTO `xsylum`.`Phobida_MenuCateItem` VALUES('52','7','52');</t>
  </si>
  <si>
    <t>INSERT INTO `xsylum`.`Phobida_MenuCateItem` VALUES('53','7','53');</t>
  </si>
  <si>
    <t>INSERT INTO `xsylum`.`Phobida_MenuCateItem` VALUES('54','7','54');</t>
  </si>
  <si>
    <t>INSERT INTO `xsylum`.`Phobida_MenuCateItem` VALUES('55','7','55');</t>
  </si>
  <si>
    <t>INSERT INTO `xsylum`.`Phobida_MenuCateItem` VALUES('56','7','56');</t>
  </si>
  <si>
    <t>INSERT INTO `xsylum`.`Phobida_MenuCateItem` VALUES('57','7','57');</t>
  </si>
  <si>
    <t>INSERT INTO `xsylum`.`Phobida_MenuCateItem` VALUES('58','7','58');</t>
  </si>
  <si>
    <t>INSERT INTO `xsylum`.`Phobida_MenuCateItem` VALUES('59','7','59');</t>
  </si>
  <si>
    <t>INSERT INTO `xsylum`.`Phobida_MenuCateItem` VALUES('60','8','60');</t>
  </si>
  <si>
    <t>INSERT INTO `xsylum`.`Phobida_MenuCateItem` VALUES('61','8','61');</t>
  </si>
  <si>
    <t>INSERT INTO `xsylum`.`Phobida_MenuCateItem` VALUES('62','8','62');</t>
  </si>
  <si>
    <t>INSERT INTO `xsylum`.`Phobida_MenuCateItem` VALUES('63','8','63');</t>
  </si>
  <si>
    <t>INSERT INTO `xsylum`.`Phobida_MenuCateItem` VALUES('64','8','64');</t>
  </si>
  <si>
    <t>INSERT INTO `xsylum`.`Phobida_MenuCateItem` VALUES('65','8','65');</t>
  </si>
  <si>
    <t>INSERT INTO `xsylum`.`Phobida_MenuCateItem` VALUES('66','8','66');</t>
  </si>
  <si>
    <t>INSERT INTO `xsylum`.`Phobida_MenuCateItem` VALUES('67','9','67');</t>
  </si>
  <si>
    <t>INSERT INTO `xsylum`.`Phobida_MenuCateItem` VALUES('68','9','68');</t>
  </si>
  <si>
    <t>INSERT INTO `xsylum`.`Phobida_MenuCateItem` VALUES('69','10','69');</t>
  </si>
  <si>
    <t>INSERT INTO `xsylum`.`Phobida_MenuCateItem` VALUES('70','10','70');</t>
  </si>
  <si>
    <t>INSERT INTO `xsylum`.`Phobida_MenuCateItem` VALUES('71','10','71');</t>
  </si>
  <si>
    <t>INSERT INTO `xsylum`.`Phobida_MenuCateItem` VALUES('72','10','72');</t>
  </si>
  <si>
    <t>INSERT INTO `xsylum`.`Phobida_MenuCateItem` VALUES('73','10','73');</t>
  </si>
  <si>
    <t>INSERT INTO `xsylum`.`Phobida_MenuCateItem` VALUES('74','10','74');</t>
  </si>
  <si>
    <t>INSERT INTO `xsylum`.`Phobida_MenuCateItem` VALUES('75','10','75');</t>
  </si>
  <si>
    <t>INSERT INTO `xsylum`.`Phobida_MenuCateItem` VALUES('76','10','76');</t>
  </si>
  <si>
    <t>INSERT INTO `xsylum`.`Phobida_MenuCateItem` VALUES('77','10','77');</t>
  </si>
  <si>
    <t>INSERT INTO `xsylum`.`Phobida_MenuCateItem` VALUES('78','11','78');</t>
  </si>
  <si>
    <t>INSERT INTO `xsylum`.`Phobida_MenuCateItem` VALUES('79','11','79');</t>
  </si>
  <si>
    <t>INSERT INTO `xsylum`.`Phobida_MenuCateItem` VALUES('80','11','80');</t>
  </si>
  <si>
    <t>INSERT INTO `xsylum`.`Phobida_MenuCateItem` VALUES('81','11','81');</t>
  </si>
  <si>
    <t>INSERT INTO `xsylum`.`Phobida_MenuCateItem` VALUES('82','12','82');</t>
  </si>
  <si>
    <t>INSERT INTO `xsylum`.`Phobida_MenuCateItem` VALUES('83','12','83');</t>
  </si>
  <si>
    <t>INSERT INTO `xsylum`.`Phobida_MenuCateItem` VALUES('84','12','84');</t>
  </si>
  <si>
    <t>INSERT INTO `xsylum`.`Phobida_MenuCateItem` VALUES('85','12','85');</t>
  </si>
  <si>
    <t>INSERT INTO `xsylum`.`Phobida_MenuCateItem` VALUES('86','12','86');</t>
  </si>
  <si>
    <t>INSERT INTO `xsylum`.`Phobida_MenuCateItem` VALUES('87','12','87');</t>
  </si>
  <si>
    <t>INSERT INTO `xsylum`.`Phobida_MenuCateItem` VALUES('88','13','88');</t>
  </si>
  <si>
    <t>INSERT INTO `xsylum`.`Phobida_MenuCateItem` VALUES('89','13','89');</t>
  </si>
  <si>
    <t>INSERT INTO `xsylum`.`Phobida_MenuCateItem` VALUES('90','14','90');</t>
  </si>
  <si>
    <t>INSERT INTO `xsylum`.`Phobida_MenuCateItem` VALUES('91','14','91');</t>
  </si>
  <si>
    <t>INSERT INTO `xsylum`.`Phobida_MenuCateItem` VALUES('92','14','92');</t>
  </si>
  <si>
    <t>INSERT INTO `xsylum`.`Phobida_MenuCateItem` VALUES('93','14','93');</t>
  </si>
  <si>
    <t>INSERT INTO `xsylum`.`Phobida_MenuCateItem` VALUES('94','15','94');</t>
  </si>
  <si>
    <t>INSERT INTO `xsylum`.`Phobida_MenuCateItem` VALUES('95','15','95');</t>
  </si>
  <si>
    <t>INSERT INTO `xsylum`.`Phobida_MenuCateItem` VALUES('96','15','96');</t>
  </si>
  <si>
    <t>INSERT INTO `xsylum`.`Phobida_MenuCateItem` VALUES('97','15','97');</t>
  </si>
  <si>
    <t>INSERT INTO `xsylum`.`Phobida_MenuCateItem` VALUES('98','15','98');</t>
  </si>
  <si>
    <t>INSERT INTO `xsylum`.`Phobida_MenuCateItem` VALUES('99','15','99');</t>
  </si>
  <si>
    <t>INSERT INTO `xsylum`.`Phobida_MenuCateItem` VALUES('100','15','100');</t>
  </si>
  <si>
    <t>INSERT INTO `xsylum`.`Phobida_MenuCateItem` VALUES('101','16','101');</t>
  </si>
  <si>
    <t>INSERT INTO `xsylum`.`Phobida_MenuCateItem` VALUES('102','16','102');</t>
  </si>
  <si>
    <t>INSERT INTO `xsylum`.`Phobida_MenuCateItem` VALUES('103','16','103');</t>
  </si>
  <si>
    <t>INSERT INTO `xsylum`.`Phobida_MenuCateItem` VALUES('104','16','104');</t>
  </si>
  <si>
    <t>INSERT INTO `xsylum`.`Phobida_MenuCateItem` VALUES('105','16','105');</t>
  </si>
  <si>
    <t>INSERT INTO `xsylum`.`Phobida_MenuCateItem` VALUES('106','16','106');</t>
  </si>
  <si>
    <t>INSERT INTO `xsylum`.`Phobida_MenuCateItem` VALUES('107','16','107');</t>
  </si>
  <si>
    <t>INSERT INTO `xsylum`.`Phobida_Photo` VALUES('1','au fond.JPG','Au Fond','1','un desc en Français 1','English Desc 1','','');</t>
  </si>
  <si>
    <t>INSERT INTO `xsylum`.`Phobida_Photo` VALUES('2','coucou.JPG','Coucou','2','un desc en Français 2','English Desc 2','','');</t>
  </si>
  <si>
    <t>INSERT INTO `xsylum`.`Phobida_Photo` VALUES('3','dans un coin.JPG','Dans un coin','3','un desc en Français 3','English Desc 3','','');</t>
  </si>
  <si>
    <t>INSERT INTO `xsylum`.`Phobida_Photo` VALUES('4','irasshai.jpg','いらっしゃい','4','un desc en Français 4','English Desc 4','','');</t>
  </si>
  <si>
    <t>INSERT INTO `xsylum`.`Phobida_Photo` VALUES('5','le bar.JPG','Le bar','5','un desc en Français 5','English Desc 5','','');</t>
  </si>
  <si>
    <t>INSERT INTO `xsylum`.`Phobida_Photo` VALUES('6','miam.JPG','Miam','6','un desc en Français 6','English Desc 6','','');</t>
  </si>
  <si>
    <t>INSERT INTO `xsylum`.`Phobida_Photo` VALUES('7','plop (1).jpg','Plop','7','un desc en Français 7','English Desc 7','','');</t>
  </si>
  <si>
    <t>INSERT INTO `xsylum`.`Phobida_Photo` VALUES('8','plop (2).jpg','Plop','8','un desc en Français 8','English Desc 8','','');</t>
  </si>
  <si>
    <t>INSERT INTO `xsylum`.`Phobida_Photo` VALUES('9','plop (3).jpg','Plop','9','un desc en Français 9','English Desc 9','','');</t>
  </si>
  <si>
    <t>INSERT INTO `xsylum`.`Phobida_Photo` VALUES('10','plop (4).jpg','Plop','10','un desc en Français 10','English Desc 10','','');</t>
  </si>
  <si>
    <t>INSERT INTO `xsylum`.`Phobida_Photo` VALUES('11','plop (5).jpg','Plop','11','un desc en Français 11','English Desc 11','','');</t>
  </si>
  <si>
    <t>INSERT INTO `xsylum`.`Phobida_Photo` VALUES('12','plop (6).jpg','Plop','12','un desc en Français 12','English Desc 12','','');</t>
  </si>
  <si>
    <t>INSERT INTO `xsylum`.`Phobida_Photo` VALUES('13','plop (7).jpg','Plop','13','un desc en Français 13','English Desc 13','','');</t>
  </si>
  <si>
    <t>INSERT INTO `xsylum`.`Phobida_Photo` VALUES('14','plop (8).jpg','Plop','14','un desc en Français 14','English Desc 14','','');</t>
  </si>
  <si>
    <t>INSERT INTO `xsylum`.`Phobida_Photo` VALUES('15','plop (9).jpg','Plop','15','un desc en Français 15','English Desc 15','','');</t>
  </si>
  <si>
    <t>INSERT INTO `xsylum`.`Phobida_Photo` VALUES('16','plop (10).jpg','Plop','16','un desc en Français 16','English Desc 16','','');</t>
  </si>
  <si>
    <t>INSERT INTO `xsylum`.`Phobida_Photo` VALUES('17','plop (11).jpg','Plop','17','un desc en Français 17','English Desc 17','','');</t>
  </si>
  <si>
    <t>INSERT INTO `xsylum`.`Phobida_Photo` VALUES('18','que choisir.JPG','Que choisir','18','un desc en Français 18','English Desc 18','','');</t>
  </si>
  <si>
    <t>INSERT INTO `xsylum`.`Phobida_Photo` VALUES('19','salle.JPG','Salle','19','un desc en Français 19','English Desc 19','','');</t>
  </si>
  <si>
    <t>INSERT INTO `xsylum`.`Phobida_UserAccount` VALUES('1','Lainlun','1d998290889846a2c193ddc2c33ad55b7673f852','Alain','Seng','xsylum@gmail.com','NULL');</t>
  </si>
  <si>
    <t>INSERT INTO `xsylum`.`Phobida_UserAccount` VALUES('2','dk','2c8a4ef59b059c720dd5a46b45a729c832914b52','DK','Vu','-','NULL');</t>
  </si>
</sst>
</file>

<file path=xl/styles.xml><?xml version="1.0" encoding="utf-8"?>
<styleSheet xmlns="http://schemas.openxmlformats.org/spreadsheetml/2006/main">
  <fonts count="5">
    <font>
      <sz val="11"/>
      <color theme="1"/>
      <name val="Calibri"/>
      <family val="2"/>
      <scheme val="minor"/>
    </font>
    <font>
      <sz val="11"/>
      <color theme="0"/>
      <name val="Calibri"/>
      <family val="2"/>
      <scheme val="minor"/>
    </font>
    <font>
      <b/>
      <sz val="11"/>
      <color rgb="FFC00000"/>
      <name val="Calibri"/>
      <family val="2"/>
      <scheme val="minor"/>
    </font>
    <font>
      <b/>
      <sz val="11"/>
      <color theme="0"/>
      <name val="Calibri"/>
      <family val="2"/>
      <scheme val="minor"/>
    </font>
    <font>
      <sz val="12"/>
      <color rgb="FF000000"/>
      <name val="Calibri"/>
      <family val="2"/>
      <scheme val="minor"/>
    </font>
  </fonts>
  <fills count="15">
    <fill>
      <patternFill patternType="none"/>
    </fill>
    <fill>
      <patternFill patternType="gray125"/>
    </fill>
    <fill>
      <patternFill patternType="solid">
        <fgColor theme="9" tint="0.59999389629810485"/>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1" tint="0.249977111117893"/>
        <bgColor indexed="64"/>
      </patternFill>
    </fill>
    <fill>
      <patternFill patternType="solid">
        <fgColor theme="4"/>
        <bgColor theme="4"/>
      </patternFill>
    </fill>
    <fill>
      <patternFill patternType="solid">
        <fgColor theme="8" tint="0.59999389629810485"/>
        <bgColor indexed="64"/>
      </patternFill>
    </fill>
    <fill>
      <patternFill patternType="solid">
        <fgColor theme="9" tint="-0.249977111117893"/>
        <bgColor indexed="64"/>
      </patternFill>
    </fill>
    <fill>
      <patternFill patternType="solid">
        <fgColor rgb="FFC0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31">
    <xf numFmtId="0" fontId="0" fillId="0" borderId="0" xfId="0"/>
    <xf numFmtId="0" fontId="1" fillId="3" borderId="2" xfId="0" applyFont="1" applyFill="1" applyBorder="1"/>
    <xf numFmtId="0" fontId="0" fillId="0" borderId="1" xfId="0" applyBorder="1"/>
    <xf numFmtId="0" fontId="0" fillId="6" borderId="0" xfId="0" applyFill="1"/>
    <xf numFmtId="0" fontId="0" fillId="5" borderId="0" xfId="0" applyFill="1" applyAlignment="1">
      <alignment vertical="center"/>
    </xf>
    <xf numFmtId="0" fontId="0" fillId="2" borderId="1" xfId="0" applyFill="1" applyBorder="1" applyAlignment="1">
      <alignment vertical="center"/>
    </xf>
    <xf numFmtId="0" fontId="0" fillId="0" borderId="0" xfId="0" applyAlignment="1">
      <alignment vertical="center"/>
    </xf>
    <xf numFmtId="0" fontId="0" fillId="0" borderId="1" xfId="0" applyBorder="1" applyAlignment="1"/>
    <xf numFmtId="0" fontId="0" fillId="2" borderId="1" xfId="0" applyFill="1" applyBorder="1"/>
    <xf numFmtId="0" fontId="1" fillId="10" borderId="1" xfId="0" applyFont="1" applyFill="1" applyBorder="1"/>
    <xf numFmtId="0" fontId="0" fillId="0" borderId="0" xfId="0" applyBorder="1"/>
    <xf numFmtId="0" fontId="0" fillId="2" borderId="5" xfId="0" applyFill="1" applyBorder="1" applyAlignment="1">
      <alignment vertical="center"/>
    </xf>
    <xf numFmtId="0" fontId="0" fillId="3" borderId="6" xfId="0" applyFill="1" applyBorder="1"/>
    <xf numFmtId="0" fontId="0" fillId="3" borderId="7" xfId="0" applyFill="1" applyBorder="1"/>
    <xf numFmtId="0" fontId="0" fillId="3" borderId="8" xfId="0" applyFill="1" applyBorder="1"/>
    <xf numFmtId="0" fontId="3" fillId="11" borderId="0" xfId="0" applyFont="1" applyFill="1" applyBorder="1"/>
    <xf numFmtId="0" fontId="0" fillId="0" borderId="0" xfId="0" applyBorder="1" applyAlignment="1">
      <alignment horizontal="center"/>
    </xf>
    <xf numFmtId="0" fontId="0" fillId="0" borderId="0" xfId="0" quotePrefix="1"/>
    <xf numFmtId="0" fontId="0" fillId="0" borderId="0" xfId="0" quotePrefix="1" applyBorder="1"/>
    <xf numFmtId="0" fontId="0" fillId="0" borderId="0" xfId="0" applyAlignment="1">
      <alignment horizontal="center"/>
    </xf>
    <xf numFmtId="0" fontId="0" fillId="0" borderId="1" xfId="0" applyBorder="1" applyAlignment="1">
      <alignment vertical="center"/>
    </xf>
    <xf numFmtId="0" fontId="0" fillId="8" borderId="1" xfId="0" applyFill="1" applyBorder="1" applyAlignment="1">
      <alignment horizontal="center"/>
    </xf>
    <xf numFmtId="0" fontId="2" fillId="9" borderId="1" xfId="0" applyFont="1" applyFill="1" applyBorder="1" applyAlignment="1">
      <alignment horizontal="center"/>
    </xf>
    <xf numFmtId="0" fontId="0" fillId="7" borderId="1" xfId="0" applyFill="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xf>
    <xf numFmtId="0" fontId="0" fillId="12" borderId="1" xfId="0" applyFill="1" applyBorder="1" applyAlignment="1">
      <alignment horizontal="center"/>
    </xf>
    <xf numFmtId="0" fontId="0" fillId="13" borderId="1" xfId="0" applyFill="1" applyBorder="1" applyAlignment="1">
      <alignment horizontal="center"/>
    </xf>
    <xf numFmtId="0" fontId="0" fillId="14" borderId="1" xfId="0" applyFill="1" applyBorder="1" applyAlignment="1">
      <alignment horizontal="center"/>
    </xf>
    <xf numFmtId="0" fontId="0" fillId="4" borderId="3" xfId="0" applyFill="1" applyBorder="1" applyAlignment="1">
      <alignment horizontal="left"/>
    </xf>
    <xf numFmtId="0" fontId="0" fillId="4" borderId="4" xfId="0" applyFill="1" applyBorder="1" applyAlignment="1">
      <alignment horizontal="left"/>
    </xf>
  </cellXfs>
  <cellStyles count="1">
    <cellStyle name="Normal" xfId="0" builtinId="0"/>
  </cellStyles>
  <dxfs count="33">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dxf>
    <dxf>
      <alignment horizontal="center" vertical="bottom" textRotation="0" wrapText="0" indent="0" relativeIndent="255" justifyLastLine="0" shrinkToFit="0" mergeCell="0" readingOrder="0"/>
    </dxf>
    <dxf>
      <fill>
        <patternFill>
          <bgColor theme="1" tint="0.499984740745262"/>
        </patternFill>
      </fill>
    </dxf>
    <dxf>
      <font>
        <b/>
        <i val="0"/>
        <color rgb="FFC00000"/>
      </font>
      <fill>
        <patternFill>
          <bgColor theme="5" tint="0.59996337778862885"/>
        </patternFill>
      </fill>
    </dxf>
    <dxf>
      <fill>
        <patternFill>
          <bgColor theme="1" tint="0.499984740745262"/>
        </patternFill>
      </fill>
    </dxf>
    <dxf>
      <font>
        <b/>
        <i val="0"/>
        <color rgb="FFC00000"/>
      </font>
      <fill>
        <patternFill>
          <bgColor theme="5" tint="0.59996337778862885"/>
        </patternFill>
      </fill>
    </dxf>
    <dxf>
      <fill>
        <patternFill>
          <bgColor theme="1" tint="0.499984740745262"/>
        </patternFill>
      </fill>
    </dxf>
    <dxf>
      <font>
        <b/>
        <i val="0"/>
        <color rgb="FFC00000"/>
      </font>
      <fill>
        <patternFill>
          <bgColor theme="5" tint="0.59996337778862885"/>
        </patternFill>
      </fill>
    </dxf>
    <dxf>
      <fill>
        <patternFill>
          <bgColor theme="1" tint="0.499984740745262"/>
        </patternFill>
      </fill>
    </dxf>
    <dxf>
      <font>
        <b/>
        <i val="0"/>
        <color rgb="FFC00000"/>
      </font>
      <fill>
        <patternFill>
          <bgColor theme="5" tint="0.59996337778862885"/>
        </patternFill>
      </fill>
    </dxf>
    <dxf>
      <fill>
        <patternFill>
          <bgColor theme="1" tint="0.499984740745262"/>
        </patternFill>
      </fill>
    </dxf>
    <dxf>
      <font>
        <b/>
        <i val="0"/>
        <color rgb="FFC00000"/>
      </font>
      <fill>
        <patternFill>
          <bgColor theme="5" tint="0.59996337778862885"/>
        </patternFill>
      </fill>
    </dxf>
    <dxf>
      <fill>
        <patternFill>
          <bgColor theme="1" tint="0.499984740745262"/>
        </patternFill>
      </fill>
    </dxf>
    <dxf>
      <font>
        <b/>
        <i val="0"/>
        <color rgb="FFC00000"/>
      </font>
      <fill>
        <patternFill>
          <bgColor theme="5" tint="0.59996337778862885"/>
        </patternFill>
      </fill>
    </dxf>
    <dxf>
      <fill>
        <patternFill>
          <bgColor theme="1" tint="0.499984740745262"/>
        </patternFill>
      </fill>
    </dxf>
    <dxf>
      <font>
        <b/>
        <i val="0"/>
        <color rgb="FFC00000"/>
      </font>
      <fill>
        <patternFill>
          <bgColor theme="5" tint="0.59996337778862885"/>
        </patternFill>
      </fill>
    </dxf>
    <dxf>
      <fill>
        <patternFill>
          <bgColor theme="1" tint="0.499984740745262"/>
        </patternFill>
      </fill>
    </dxf>
    <dxf>
      <font>
        <b/>
        <i val="0"/>
        <color rgb="FFC00000"/>
      </font>
      <fill>
        <patternFill>
          <bgColor theme="5" tint="0.59996337778862885"/>
        </patternFill>
      </fill>
    </dxf>
    <dxf>
      <fill>
        <patternFill>
          <bgColor theme="1" tint="0.499984740745262"/>
        </patternFill>
      </fill>
    </dxf>
    <dxf>
      <font>
        <b/>
        <i val="0"/>
        <color rgb="FFC00000"/>
      </font>
      <fill>
        <patternFill>
          <bgColor theme="5" tint="0.59996337778862885"/>
        </patternFill>
      </fill>
    </dxf>
    <dxf>
      <fill>
        <patternFill>
          <bgColor theme="1" tint="0.499984740745262"/>
        </patternFill>
      </fill>
    </dxf>
    <dxf>
      <font>
        <b/>
        <i val="0"/>
        <color rgb="FFC00000"/>
      </font>
      <fill>
        <patternFill>
          <bgColor theme="5" tint="0.59996337778862885"/>
        </patternFill>
      </fill>
    </dxf>
    <dxf>
      <fill>
        <patternFill>
          <bgColor theme="1" tint="0.499984740745262"/>
        </patternFill>
      </fill>
    </dxf>
    <dxf>
      <font>
        <b/>
        <i val="0"/>
        <color rgb="FFC00000"/>
      </font>
      <fill>
        <patternFill>
          <bgColor theme="5" tint="0.59996337778862885"/>
        </patternFill>
      </fill>
    </dxf>
    <dxf>
      <fill>
        <patternFill>
          <bgColor theme="1" tint="0.499984740745262"/>
        </patternFill>
      </fill>
    </dxf>
    <dxf>
      <font>
        <b/>
        <i val="0"/>
        <color rgb="FFC00000"/>
      </font>
      <fill>
        <patternFill>
          <bgColor theme="5" tint="0.59996337778862885"/>
        </patternFill>
      </fill>
    </dxf>
    <dxf>
      <fill>
        <patternFill>
          <bgColor theme="1" tint="0.499984740745262"/>
        </patternFill>
      </fill>
    </dxf>
    <dxf>
      <font>
        <b/>
        <i val="0"/>
        <color rgb="FFC00000"/>
      </font>
      <fill>
        <patternFill>
          <bgColor theme="5" tint="0.59996337778862885"/>
        </patternFill>
      </fill>
    </dxf>
    <dxf>
      <fill>
        <patternFill>
          <bgColor theme="1" tint="0.499984740745262"/>
        </patternFill>
      </fill>
    </dxf>
    <dxf>
      <font>
        <b/>
        <i val="0"/>
        <color rgb="FFC00000"/>
      </font>
      <fill>
        <patternFill>
          <bgColor theme="5" tint="0.59996337778862885"/>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id="1" name="SQL_Definition" displayName="SQL_Definition" ref="A1:I43" totalsRowShown="0">
  <autoFilter ref="A1:I43">
    <filterColumn colId="6"/>
    <filterColumn colId="7"/>
    <filterColumn colId="8"/>
  </autoFilter>
  <sortState ref="A2:I2">
    <sortCondition ref="A1:A2"/>
  </sortState>
  <tableColumns count="9">
    <tableColumn id="1" name="SearchKey">
      <calculatedColumnFormula>[Table Name]&amp;[Field Count]</calculatedColumnFormula>
    </tableColumn>
    <tableColumn id="2" name="Table Name"/>
    <tableColumn id="3" name="Field Count">
      <calculatedColumnFormula>IF(B2=B1,C1+1,1)</calculatedColumnFormula>
    </tableColumn>
    <tableColumn id="4" name="Field Name"/>
    <tableColumn id="5" name="Field Type"/>
    <tableColumn id="6" name="Field Length"/>
    <tableColumn id="8" name="Field Length 2"/>
    <tableColumn id="7" name="Primary Key" dataDxfId="4"/>
    <tableColumn id="9" name="Parameters"/>
  </tableColumns>
  <tableStyleInfo name="TableStyleMedium9" showFirstColumn="0" showLastColumn="0" showRowStripes="1" showColumnStripes="0"/>
</table>
</file>

<file path=xl/tables/table2.xml><?xml version="1.0" encoding="utf-8"?>
<table xmlns="http://schemas.openxmlformats.org/spreadsheetml/2006/main" id="3" name="Sql_Table_Name" displayName="Sql_Table_Name" ref="A1:B7" totalsRowShown="0" headerRowDxfId="3" headerRowBorderDxfId="2" tableBorderDxfId="1" totalsRowBorderDxfId="0">
  <autoFilter ref="A1:B7"/>
  <tableColumns count="2">
    <tableColumn id="1" name="Table Name"/>
    <tableColumn id="2" name="Table Definition"/>
  </tableColumns>
  <tableStyleInfo name="TableStyleMedium9" showFirstColumn="0" showLastColumn="0" showRowStripes="1" showColumnStripes="0"/>
</table>
</file>

<file path=xl/tables/table3.xml><?xml version="1.0" encoding="utf-8"?>
<table xmlns="http://schemas.openxmlformats.org/spreadsheetml/2006/main" id="2" name="Sql_Field_Type" displayName="Sql_Field_Type" ref="A1:D11" totalsRowShown="0">
  <autoFilter ref="A1:D11">
    <filterColumn colId="1"/>
    <filterColumn colId="2"/>
    <filterColumn colId="3"/>
  </autoFilter>
  <sortState ref="A2:D11">
    <sortCondition ref="A1:A11"/>
  </sortState>
  <tableColumns count="4">
    <tableColumn id="1" name="Field Type"/>
    <tableColumn id="5" name="Default Length"/>
    <tableColumn id="2" name="Format"/>
    <tableColumn id="3" name="Comment"/>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sheetPr codeName="Feuil1">
    <tabColor theme="3" tint="0.39997558519241921"/>
  </sheetPr>
  <dimension ref="B3:D18"/>
  <sheetViews>
    <sheetView showGridLines="0" workbookViewId="0">
      <selection activeCell="D7" sqref="D7"/>
    </sheetView>
  </sheetViews>
  <sheetFormatPr baseColWidth="10" defaultRowHeight="15"/>
  <cols>
    <col min="4" max="4" width="74.28515625" customWidth="1"/>
  </cols>
  <sheetData>
    <row r="3" spans="2:4">
      <c r="B3" s="21" t="s">
        <v>11</v>
      </c>
      <c r="C3" s="21"/>
      <c r="D3" s="2" t="s">
        <v>10</v>
      </c>
    </row>
    <row r="4" spans="2:4">
      <c r="B4" s="22" t="s">
        <v>11</v>
      </c>
      <c r="C4" s="22"/>
      <c r="D4" s="2" t="s">
        <v>12</v>
      </c>
    </row>
    <row r="5" spans="2:4">
      <c r="B5" s="23" t="s">
        <v>11</v>
      </c>
      <c r="C5" s="23"/>
      <c r="D5" s="2" t="s">
        <v>13</v>
      </c>
    </row>
    <row r="7" spans="2:4">
      <c r="B7" s="24" t="s">
        <v>136</v>
      </c>
      <c r="C7" s="24"/>
      <c r="D7" s="2" t="s">
        <v>760</v>
      </c>
    </row>
    <row r="10" spans="2:4">
      <c r="B10" s="25" t="s">
        <v>270</v>
      </c>
      <c r="C10" s="25"/>
      <c r="D10" s="26"/>
    </row>
    <row r="11" spans="2:4">
      <c r="B11" s="25"/>
      <c r="C11" s="25"/>
      <c r="D11" s="26"/>
    </row>
    <row r="12" spans="2:4">
      <c r="B12" s="25" t="s">
        <v>271</v>
      </c>
      <c r="C12" s="25"/>
      <c r="D12" s="27"/>
    </row>
    <row r="13" spans="2:4">
      <c r="B13" s="25"/>
      <c r="C13" s="25"/>
      <c r="D13" s="27"/>
    </row>
    <row r="14" spans="2:4">
      <c r="B14" s="25" t="s">
        <v>272</v>
      </c>
      <c r="C14" s="25"/>
      <c r="D14" s="28"/>
    </row>
    <row r="15" spans="2:4">
      <c r="B15" s="25"/>
      <c r="C15" s="25"/>
      <c r="D15" s="28"/>
    </row>
    <row r="18" spans="4:4">
      <c r="D18" t="s">
        <v>284</v>
      </c>
    </row>
  </sheetData>
  <mergeCells count="10">
    <mergeCell ref="D10:D11"/>
    <mergeCell ref="B12:C13"/>
    <mergeCell ref="D12:D13"/>
    <mergeCell ref="B14:C15"/>
    <mergeCell ref="D14:D15"/>
    <mergeCell ref="B3:C3"/>
    <mergeCell ref="B4:C4"/>
    <mergeCell ref="B5:C5"/>
    <mergeCell ref="B7:C7"/>
    <mergeCell ref="B10:C11"/>
  </mergeCell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Feuil11">
    <tabColor rgb="FF00B050"/>
  </sheetPr>
  <dimension ref="A1:M123"/>
  <sheetViews>
    <sheetView zoomScale="85" zoomScaleNormal="85" workbookViewId="0">
      <pane ySplit="3" topLeftCell="A4" activePane="bottomLeft" state="frozen"/>
      <selection activeCell="G20" sqref="G20"/>
      <selection pane="bottomLeft"/>
    </sheetView>
  </sheetViews>
  <sheetFormatPr baseColWidth="10" defaultRowHeight="15"/>
  <cols>
    <col min="2" max="11" width="14.7109375" customWidth="1"/>
  </cols>
  <sheetData>
    <row r="1" spans="1:13" ht="15.75" thickBot="1">
      <c r="A1" s="1" t="s">
        <v>7</v>
      </c>
      <c r="B1" s="29"/>
      <c r="C1" s="30"/>
      <c r="D1" s="12"/>
      <c r="E1" s="13"/>
      <c r="F1" s="13"/>
      <c r="G1" s="13"/>
      <c r="H1" s="13"/>
      <c r="I1" s="13"/>
      <c r="J1" s="13"/>
      <c r="K1" s="13"/>
      <c r="L1" s="13"/>
      <c r="M1" s="14"/>
    </row>
    <row r="2" spans="1:13" s="6" customFormat="1" ht="24.75" customHeight="1">
      <c r="A2" s="4" t="s">
        <v>5</v>
      </c>
      <c r="B2" s="5" t="e">
        <f t="array" ref="B2:M2">VLOOKUP($B$1&amp;(COLUMN()-1),SQL_Definition[],4,FALSE)</f>
        <v>#N/A</v>
      </c>
      <c r="C2" s="5" t="e">
        <v>#N/A</v>
      </c>
      <c r="D2" s="11" t="e">
        <v>#N/A</v>
      </c>
      <c r="E2" s="11" t="e">
        <v>#N/A</v>
      </c>
      <c r="F2" s="11" t="e">
        <v>#N/A</v>
      </c>
      <c r="G2" s="11" t="e">
        <v>#N/A</v>
      </c>
      <c r="H2" s="11" t="e">
        <v>#N/A</v>
      </c>
      <c r="I2" s="11" t="e">
        <v>#N/A</v>
      </c>
      <c r="J2" s="11" t="e">
        <v>#N/A</v>
      </c>
      <c r="K2" s="5" t="e">
        <v>#N/A</v>
      </c>
      <c r="L2" s="5" t="e">
        <v>#N/A</v>
      </c>
      <c r="M2" s="5" t="e">
        <v>#N/A</v>
      </c>
    </row>
    <row r="3" spans="1:13" s="6" customFormat="1">
      <c r="A3" s="4" t="s">
        <v>9</v>
      </c>
      <c r="B3" s="5" t="e">
        <f t="array" ref="B3:M3">VLOOKUP($B$1&amp;(COLUMN()-1),SQL_Definition[],6,FALSE)</f>
        <v>#N/A</v>
      </c>
      <c r="C3" s="5" t="e">
        <v>#N/A</v>
      </c>
      <c r="D3" s="5" t="e">
        <v>#N/A</v>
      </c>
      <c r="E3" s="5" t="e">
        <v>#N/A</v>
      </c>
      <c r="F3" s="5" t="e">
        <v>#N/A</v>
      </c>
      <c r="G3" s="5" t="e">
        <v>#N/A</v>
      </c>
      <c r="H3" s="5" t="e">
        <v>#N/A</v>
      </c>
      <c r="I3" s="5" t="e">
        <v>#N/A</v>
      </c>
      <c r="J3" s="5" t="e">
        <v>#N/A</v>
      </c>
      <c r="K3" s="5" t="e">
        <v>#N/A</v>
      </c>
      <c r="L3" s="5" t="e">
        <v>#N/A</v>
      </c>
      <c r="M3" s="5" t="e">
        <v>#N/A</v>
      </c>
    </row>
    <row r="4" spans="1:13">
      <c r="A4" s="3"/>
      <c r="B4" s="2">
        <v>1</v>
      </c>
      <c r="C4" s="2"/>
      <c r="D4" s="2"/>
      <c r="E4" s="2"/>
      <c r="F4" s="2"/>
      <c r="G4" s="2"/>
      <c r="H4" s="2"/>
      <c r="I4" s="2"/>
      <c r="J4" s="2"/>
      <c r="K4" s="2"/>
      <c r="L4" s="2"/>
      <c r="M4" s="2"/>
    </row>
    <row r="5" spans="1:13">
      <c r="A5" s="3"/>
      <c r="B5" s="2">
        <v>2</v>
      </c>
      <c r="C5" s="2"/>
      <c r="D5" s="2"/>
      <c r="E5" s="2"/>
      <c r="F5" s="2"/>
      <c r="G5" s="2"/>
      <c r="H5" s="2"/>
      <c r="I5" s="2"/>
      <c r="J5" s="2"/>
      <c r="K5" s="2"/>
      <c r="L5" s="2"/>
      <c r="M5" s="2"/>
    </row>
    <row r="6" spans="1:13">
      <c r="A6" s="3"/>
      <c r="B6" s="2">
        <v>3</v>
      </c>
      <c r="C6" s="2"/>
      <c r="D6" s="2"/>
      <c r="E6" s="2"/>
      <c r="F6" s="2"/>
      <c r="G6" s="2"/>
      <c r="H6" s="2"/>
      <c r="I6" s="2"/>
      <c r="J6" s="2"/>
      <c r="K6" s="2"/>
      <c r="L6" s="2"/>
      <c r="M6" s="2"/>
    </row>
    <row r="7" spans="1:13">
      <c r="A7" s="3"/>
      <c r="B7" s="2">
        <v>4</v>
      </c>
      <c r="C7" s="2"/>
      <c r="D7" s="2"/>
      <c r="E7" s="2"/>
      <c r="F7" s="2"/>
      <c r="G7" s="2"/>
      <c r="H7" s="2"/>
      <c r="I7" s="2"/>
      <c r="J7" s="2"/>
      <c r="K7" s="2"/>
      <c r="L7" s="2"/>
      <c r="M7" s="2"/>
    </row>
    <row r="8" spans="1:13">
      <c r="A8" s="3"/>
      <c r="B8" s="2">
        <v>5</v>
      </c>
      <c r="C8" s="2"/>
      <c r="D8" s="2"/>
      <c r="E8" s="2"/>
      <c r="F8" s="2"/>
      <c r="G8" s="2"/>
      <c r="H8" s="2"/>
      <c r="I8" s="2"/>
      <c r="J8" s="2"/>
      <c r="K8" s="2"/>
      <c r="L8" s="2"/>
      <c r="M8" s="2"/>
    </row>
    <row r="9" spans="1:13">
      <c r="A9" s="3"/>
      <c r="B9" s="2">
        <v>6</v>
      </c>
      <c r="C9" s="2"/>
      <c r="D9" s="2"/>
      <c r="E9" s="2"/>
      <c r="F9" s="2"/>
      <c r="G9" s="2"/>
      <c r="H9" s="2"/>
      <c r="I9" s="2"/>
      <c r="J9" s="2"/>
      <c r="K9" s="2"/>
      <c r="L9" s="2"/>
      <c r="M9" s="2"/>
    </row>
    <row r="10" spans="1:13">
      <c r="A10" s="3"/>
      <c r="B10" s="2">
        <v>7</v>
      </c>
      <c r="C10" s="2"/>
      <c r="D10" s="2"/>
      <c r="E10" s="2"/>
      <c r="F10" s="2"/>
      <c r="G10" s="2"/>
      <c r="H10" s="2"/>
      <c r="I10" s="2"/>
      <c r="J10" s="2"/>
      <c r="K10" s="2"/>
      <c r="L10" s="2"/>
      <c r="M10" s="2"/>
    </row>
    <row r="11" spans="1:13">
      <c r="A11" s="3"/>
      <c r="B11" s="2">
        <v>8</v>
      </c>
      <c r="C11" s="2"/>
      <c r="D11" s="2"/>
      <c r="E11" s="2"/>
      <c r="F11" s="2"/>
      <c r="G11" s="2"/>
      <c r="H11" s="2"/>
      <c r="I11" s="2"/>
      <c r="J11" s="2"/>
      <c r="K11" s="2"/>
      <c r="L11" s="2"/>
      <c r="M11" s="2"/>
    </row>
    <row r="12" spans="1:13">
      <c r="A12" s="3"/>
      <c r="B12" s="2">
        <v>9</v>
      </c>
      <c r="C12" s="2"/>
      <c r="D12" s="2"/>
      <c r="E12" s="2"/>
      <c r="F12" s="2"/>
      <c r="G12" s="2"/>
      <c r="H12" s="2"/>
      <c r="I12" s="2"/>
      <c r="J12" s="2"/>
      <c r="K12" s="2"/>
      <c r="L12" s="2"/>
      <c r="M12" s="2"/>
    </row>
    <row r="13" spans="1:13">
      <c r="A13" s="3"/>
      <c r="B13" s="2">
        <v>10</v>
      </c>
      <c r="C13" s="2"/>
      <c r="D13" s="2"/>
      <c r="E13" s="2"/>
      <c r="F13" s="2"/>
      <c r="G13" s="2"/>
      <c r="H13" s="2"/>
      <c r="I13" s="2"/>
      <c r="J13" s="2"/>
      <c r="K13" s="2"/>
      <c r="L13" s="2"/>
      <c r="M13" s="2"/>
    </row>
    <row r="14" spans="1:13">
      <c r="A14" s="3"/>
      <c r="B14" s="2">
        <v>11</v>
      </c>
      <c r="C14" s="2"/>
      <c r="D14" s="2"/>
      <c r="E14" s="2"/>
      <c r="F14" s="2"/>
      <c r="G14" s="2"/>
      <c r="H14" s="2"/>
      <c r="I14" s="2"/>
      <c r="J14" s="2"/>
      <c r="K14" s="2"/>
      <c r="L14" s="2"/>
      <c r="M14" s="2"/>
    </row>
    <row r="15" spans="1:13">
      <c r="A15" s="3"/>
      <c r="B15" s="2">
        <v>12</v>
      </c>
      <c r="C15" s="2"/>
      <c r="D15" s="2"/>
      <c r="E15" s="2"/>
      <c r="F15" s="2"/>
      <c r="G15" s="2"/>
      <c r="H15" s="2"/>
      <c r="I15" s="2"/>
      <c r="J15" s="2"/>
      <c r="K15" s="2"/>
      <c r="L15" s="2"/>
      <c r="M15" s="2"/>
    </row>
    <row r="16" spans="1:13">
      <c r="A16" s="3"/>
      <c r="B16" s="2">
        <v>13</v>
      </c>
      <c r="C16" s="2"/>
      <c r="D16" s="2"/>
      <c r="E16" s="2"/>
      <c r="F16" s="2"/>
      <c r="G16" s="2"/>
      <c r="H16" s="2"/>
      <c r="I16" s="2"/>
      <c r="J16" s="2"/>
      <c r="K16" s="2"/>
      <c r="L16" s="2"/>
      <c r="M16" s="2"/>
    </row>
    <row r="17" spans="1:13">
      <c r="A17" s="3"/>
      <c r="B17" s="2">
        <v>14</v>
      </c>
      <c r="C17" s="2"/>
      <c r="D17" s="2"/>
      <c r="E17" s="2"/>
      <c r="F17" s="2"/>
      <c r="G17" s="2"/>
      <c r="H17" s="2"/>
      <c r="I17" s="2"/>
      <c r="J17" s="2"/>
      <c r="K17" s="2"/>
      <c r="L17" s="2"/>
      <c r="M17" s="2"/>
    </row>
    <row r="18" spans="1:13">
      <c r="A18" s="3"/>
      <c r="B18" s="2">
        <v>15</v>
      </c>
      <c r="C18" s="2"/>
      <c r="D18" s="2"/>
      <c r="E18" s="2"/>
      <c r="F18" s="2"/>
      <c r="G18" s="2"/>
      <c r="H18" s="2"/>
      <c r="I18" s="2"/>
      <c r="J18" s="2"/>
      <c r="K18" s="2"/>
      <c r="L18" s="2"/>
      <c r="M18" s="2"/>
    </row>
    <row r="19" spans="1:13">
      <c r="A19" s="3"/>
      <c r="B19" s="2">
        <v>16</v>
      </c>
      <c r="C19" s="2"/>
      <c r="D19" s="2"/>
      <c r="E19" s="2"/>
      <c r="F19" s="2"/>
      <c r="G19" s="2"/>
      <c r="H19" s="2"/>
      <c r="I19" s="2"/>
      <c r="J19" s="2"/>
      <c r="K19" s="2"/>
      <c r="L19" s="2"/>
      <c r="M19" s="2"/>
    </row>
    <row r="20" spans="1:13">
      <c r="A20" s="3"/>
      <c r="B20" s="2">
        <v>17</v>
      </c>
      <c r="C20" s="2"/>
      <c r="D20" s="2"/>
      <c r="E20" s="2"/>
      <c r="F20" s="2"/>
      <c r="G20" s="2"/>
      <c r="H20" s="2"/>
      <c r="I20" s="2"/>
      <c r="J20" s="2"/>
      <c r="K20" s="2"/>
      <c r="L20" s="2"/>
      <c r="M20" s="2"/>
    </row>
    <row r="21" spans="1:13">
      <c r="A21" s="3"/>
      <c r="B21" s="2">
        <v>18</v>
      </c>
      <c r="C21" s="2"/>
      <c r="D21" s="2"/>
      <c r="E21" s="2"/>
      <c r="F21" s="2"/>
      <c r="G21" s="2"/>
      <c r="H21" s="2"/>
      <c r="I21" s="2"/>
      <c r="J21" s="2"/>
      <c r="K21" s="2"/>
      <c r="L21" s="2"/>
      <c r="M21" s="2"/>
    </row>
    <row r="22" spans="1:13">
      <c r="A22" s="3"/>
      <c r="B22" s="2">
        <v>19</v>
      </c>
      <c r="C22" s="2"/>
      <c r="D22" s="2"/>
      <c r="E22" s="2"/>
      <c r="F22" s="2"/>
      <c r="G22" s="2"/>
      <c r="H22" s="2"/>
      <c r="I22" s="2"/>
      <c r="J22" s="2"/>
      <c r="K22" s="2"/>
      <c r="L22" s="2"/>
      <c r="M22" s="2"/>
    </row>
    <row r="23" spans="1:13">
      <c r="A23" s="3"/>
      <c r="B23" s="2">
        <v>20</v>
      </c>
      <c r="C23" s="2"/>
      <c r="D23" s="2"/>
      <c r="E23" s="2"/>
      <c r="F23" s="2"/>
      <c r="G23" s="2"/>
      <c r="H23" s="2"/>
      <c r="I23" s="2"/>
      <c r="J23" s="2"/>
      <c r="K23" s="2"/>
      <c r="L23" s="2"/>
      <c r="M23" s="2"/>
    </row>
    <row r="24" spans="1:13">
      <c r="A24" s="3"/>
      <c r="B24" s="2">
        <v>21</v>
      </c>
      <c r="C24" s="2"/>
      <c r="D24" s="2"/>
      <c r="E24" s="2"/>
      <c r="F24" s="2"/>
      <c r="G24" s="2"/>
      <c r="H24" s="2"/>
      <c r="I24" s="2"/>
      <c r="J24" s="2"/>
      <c r="K24" s="2"/>
      <c r="L24" s="2"/>
      <c r="M24" s="2"/>
    </row>
    <row r="25" spans="1:13">
      <c r="A25" s="3"/>
      <c r="B25" s="2">
        <v>22</v>
      </c>
      <c r="C25" s="2"/>
      <c r="D25" s="2"/>
      <c r="E25" s="2"/>
      <c r="F25" s="2"/>
      <c r="G25" s="2"/>
      <c r="H25" s="2"/>
      <c r="I25" s="2"/>
      <c r="J25" s="2"/>
      <c r="K25" s="2"/>
      <c r="L25" s="2"/>
      <c r="M25" s="2"/>
    </row>
    <row r="26" spans="1:13">
      <c r="A26" s="3"/>
      <c r="B26" s="2">
        <v>23</v>
      </c>
      <c r="C26" s="2"/>
      <c r="D26" s="2"/>
      <c r="E26" s="2"/>
      <c r="F26" s="2"/>
      <c r="G26" s="2"/>
      <c r="H26" s="2"/>
      <c r="I26" s="2"/>
      <c r="J26" s="2"/>
      <c r="K26" s="2"/>
      <c r="L26" s="2"/>
      <c r="M26" s="2"/>
    </row>
    <row r="27" spans="1:13">
      <c r="A27" s="3"/>
      <c r="B27" s="2">
        <v>24</v>
      </c>
      <c r="C27" s="2"/>
      <c r="D27" s="2"/>
      <c r="E27" s="2"/>
      <c r="F27" s="2"/>
      <c r="G27" s="2"/>
      <c r="H27" s="2"/>
      <c r="I27" s="2"/>
      <c r="J27" s="2"/>
      <c r="K27" s="2"/>
      <c r="L27" s="2"/>
      <c r="M27" s="2"/>
    </row>
    <row r="28" spans="1:13">
      <c r="A28" s="3"/>
      <c r="B28" s="2">
        <v>25</v>
      </c>
      <c r="C28" s="2"/>
      <c r="D28" s="2"/>
      <c r="E28" s="2"/>
      <c r="F28" s="2"/>
      <c r="G28" s="2"/>
      <c r="H28" s="2"/>
      <c r="I28" s="2"/>
      <c r="J28" s="2"/>
      <c r="K28" s="2"/>
      <c r="L28" s="2"/>
      <c r="M28" s="2"/>
    </row>
    <row r="29" spans="1:13">
      <c r="A29" s="3"/>
      <c r="B29" s="2">
        <v>26</v>
      </c>
      <c r="C29" s="2"/>
      <c r="D29" s="2"/>
      <c r="E29" s="2"/>
      <c r="F29" s="2"/>
      <c r="G29" s="2"/>
      <c r="H29" s="2"/>
      <c r="I29" s="2"/>
      <c r="J29" s="2"/>
      <c r="K29" s="2"/>
      <c r="L29" s="2"/>
      <c r="M29" s="2"/>
    </row>
    <row r="30" spans="1:13">
      <c r="A30" s="3"/>
      <c r="B30" s="2">
        <v>27</v>
      </c>
      <c r="C30" s="2"/>
      <c r="D30" s="2"/>
      <c r="E30" s="2"/>
      <c r="F30" s="2"/>
      <c r="G30" s="2"/>
      <c r="H30" s="2"/>
      <c r="I30" s="2"/>
      <c r="J30" s="2"/>
      <c r="K30" s="2"/>
      <c r="L30" s="2"/>
      <c r="M30" s="2"/>
    </row>
    <row r="31" spans="1:13">
      <c r="A31" s="3"/>
      <c r="B31" s="2">
        <v>28</v>
      </c>
      <c r="C31" s="2"/>
      <c r="D31" s="2"/>
      <c r="E31" s="2"/>
      <c r="F31" s="2"/>
      <c r="G31" s="2"/>
      <c r="H31" s="2"/>
      <c r="I31" s="2"/>
      <c r="J31" s="2"/>
      <c r="K31" s="2"/>
      <c r="L31" s="2"/>
      <c r="M31" s="2"/>
    </row>
    <row r="32" spans="1:13">
      <c r="A32" s="3"/>
      <c r="B32" s="2">
        <v>29</v>
      </c>
      <c r="C32" s="2"/>
      <c r="D32" s="2"/>
      <c r="E32" s="2"/>
      <c r="F32" s="2"/>
      <c r="G32" s="2"/>
      <c r="H32" s="2"/>
      <c r="I32" s="2"/>
      <c r="J32" s="2"/>
      <c r="K32" s="2"/>
      <c r="L32" s="2"/>
      <c r="M32" s="2"/>
    </row>
    <row r="33" spans="1:13">
      <c r="A33" s="3"/>
      <c r="B33" s="2">
        <v>30</v>
      </c>
      <c r="C33" s="2"/>
      <c r="D33" s="2"/>
      <c r="E33" s="2"/>
      <c r="F33" s="2"/>
      <c r="G33" s="2"/>
      <c r="H33" s="2"/>
      <c r="I33" s="2"/>
      <c r="J33" s="2"/>
      <c r="K33" s="2"/>
      <c r="L33" s="2"/>
      <c r="M33" s="2"/>
    </row>
    <row r="34" spans="1:13">
      <c r="A34" s="3"/>
      <c r="B34" s="2">
        <v>31</v>
      </c>
      <c r="C34" s="2"/>
      <c r="D34" s="2"/>
      <c r="E34" s="2"/>
      <c r="F34" s="2"/>
      <c r="G34" s="2"/>
      <c r="H34" s="2"/>
      <c r="I34" s="2"/>
      <c r="J34" s="2"/>
      <c r="K34" s="2"/>
      <c r="L34" s="2"/>
      <c r="M34" s="2"/>
    </row>
    <row r="35" spans="1:13">
      <c r="A35" s="3"/>
      <c r="B35" s="2">
        <v>32</v>
      </c>
      <c r="C35" s="2"/>
      <c r="D35" s="2"/>
      <c r="E35" s="2"/>
      <c r="F35" s="2"/>
      <c r="G35" s="2"/>
      <c r="H35" s="2"/>
      <c r="I35" s="2"/>
      <c r="J35" s="2"/>
      <c r="K35" s="2"/>
      <c r="L35" s="2"/>
      <c r="M35" s="2"/>
    </row>
    <row r="36" spans="1:13">
      <c r="A36" s="3"/>
      <c r="B36" s="2">
        <v>33</v>
      </c>
      <c r="C36" s="2"/>
      <c r="D36" s="2"/>
      <c r="E36" s="2"/>
      <c r="F36" s="2"/>
      <c r="G36" s="2"/>
      <c r="H36" s="2"/>
      <c r="I36" s="2"/>
      <c r="J36" s="2"/>
      <c r="K36" s="2"/>
      <c r="L36" s="2"/>
      <c r="M36" s="2"/>
    </row>
    <row r="37" spans="1:13">
      <c r="A37" s="3"/>
      <c r="B37" s="2">
        <v>34</v>
      </c>
      <c r="C37" s="2"/>
      <c r="D37" s="2"/>
      <c r="E37" s="2"/>
      <c r="F37" s="2"/>
      <c r="G37" s="2"/>
      <c r="H37" s="2"/>
      <c r="I37" s="2"/>
      <c r="J37" s="2"/>
      <c r="K37" s="2"/>
      <c r="L37" s="2"/>
      <c r="M37" s="2"/>
    </row>
    <row r="38" spans="1:13">
      <c r="A38" s="3"/>
      <c r="B38" s="2">
        <v>35</v>
      </c>
      <c r="C38" s="2"/>
      <c r="D38" s="2"/>
      <c r="E38" s="2"/>
      <c r="F38" s="2"/>
      <c r="G38" s="2"/>
      <c r="H38" s="2"/>
      <c r="I38" s="2"/>
      <c r="J38" s="2"/>
      <c r="K38" s="2"/>
      <c r="L38" s="2"/>
      <c r="M38" s="2"/>
    </row>
    <row r="39" spans="1:13">
      <c r="A39" s="3"/>
      <c r="B39" s="2">
        <v>36</v>
      </c>
      <c r="C39" s="2"/>
      <c r="D39" s="2"/>
      <c r="E39" s="2"/>
      <c r="F39" s="2"/>
      <c r="G39" s="2"/>
      <c r="H39" s="2"/>
      <c r="I39" s="2"/>
      <c r="J39" s="2"/>
      <c r="K39" s="2"/>
      <c r="L39" s="2"/>
      <c r="M39" s="2"/>
    </row>
    <row r="40" spans="1:13">
      <c r="A40" s="3"/>
      <c r="B40" s="2">
        <v>37</v>
      </c>
      <c r="C40" s="2"/>
      <c r="D40" s="2"/>
      <c r="E40" s="2"/>
      <c r="F40" s="2"/>
      <c r="G40" s="2"/>
      <c r="H40" s="2"/>
      <c r="I40" s="2"/>
      <c r="J40" s="2"/>
      <c r="K40" s="2"/>
      <c r="L40" s="2"/>
      <c r="M40" s="2"/>
    </row>
    <row r="41" spans="1:13">
      <c r="A41" s="3"/>
      <c r="B41" s="2">
        <v>38</v>
      </c>
      <c r="C41" s="2"/>
      <c r="D41" s="2"/>
      <c r="E41" s="2"/>
      <c r="F41" s="2"/>
      <c r="G41" s="2"/>
      <c r="H41" s="2"/>
      <c r="I41" s="2"/>
      <c r="J41" s="2"/>
      <c r="K41" s="2"/>
      <c r="L41" s="2"/>
      <c r="M41" s="2"/>
    </row>
    <row r="42" spans="1:13">
      <c r="A42" s="3"/>
      <c r="B42" s="2">
        <v>39</v>
      </c>
      <c r="C42" s="2"/>
      <c r="D42" s="2"/>
      <c r="E42" s="2"/>
      <c r="F42" s="2"/>
      <c r="G42" s="2"/>
      <c r="H42" s="2"/>
      <c r="I42" s="2"/>
      <c r="J42" s="2"/>
      <c r="K42" s="2"/>
      <c r="L42" s="2"/>
      <c r="M42" s="2"/>
    </row>
    <row r="43" spans="1:13">
      <c r="A43" s="3"/>
      <c r="B43" s="2">
        <v>40</v>
      </c>
      <c r="C43" s="2"/>
      <c r="D43" s="2"/>
      <c r="E43" s="2"/>
      <c r="F43" s="2"/>
      <c r="G43" s="2"/>
      <c r="H43" s="2"/>
      <c r="I43" s="2"/>
      <c r="J43" s="2"/>
      <c r="K43" s="2"/>
      <c r="L43" s="2"/>
      <c r="M43" s="2"/>
    </row>
    <row r="44" spans="1:13">
      <c r="A44" s="3"/>
      <c r="B44" s="2">
        <v>41</v>
      </c>
      <c r="C44" s="2"/>
      <c r="D44" s="2"/>
      <c r="E44" s="2"/>
      <c r="F44" s="2"/>
      <c r="G44" s="2"/>
      <c r="H44" s="2"/>
      <c r="I44" s="2"/>
      <c r="J44" s="2"/>
      <c r="K44" s="2"/>
      <c r="L44" s="2"/>
      <c r="M44" s="2"/>
    </row>
    <row r="45" spans="1:13">
      <c r="A45" s="3"/>
      <c r="B45" s="2">
        <v>42</v>
      </c>
      <c r="C45" s="2"/>
      <c r="D45" s="2"/>
      <c r="E45" s="2"/>
      <c r="F45" s="2"/>
      <c r="G45" s="2"/>
      <c r="H45" s="2"/>
      <c r="I45" s="2"/>
      <c r="J45" s="2"/>
      <c r="K45" s="2"/>
      <c r="L45" s="2"/>
      <c r="M45" s="2"/>
    </row>
    <row r="46" spans="1:13">
      <c r="A46" s="3"/>
      <c r="B46" s="2">
        <v>43</v>
      </c>
      <c r="C46" s="2"/>
      <c r="D46" s="2"/>
      <c r="E46" s="2"/>
      <c r="F46" s="2"/>
      <c r="G46" s="2"/>
      <c r="H46" s="2"/>
      <c r="I46" s="2"/>
      <c r="J46" s="2"/>
      <c r="K46" s="2"/>
      <c r="L46" s="2"/>
      <c r="M46" s="2"/>
    </row>
    <row r="47" spans="1:13">
      <c r="A47" s="3"/>
      <c r="B47" s="2">
        <v>44</v>
      </c>
      <c r="C47" s="2"/>
      <c r="D47" s="2"/>
      <c r="E47" s="2"/>
      <c r="F47" s="2"/>
      <c r="G47" s="2"/>
      <c r="H47" s="2"/>
      <c r="I47" s="2"/>
      <c r="J47" s="2"/>
      <c r="K47" s="2"/>
      <c r="L47" s="2"/>
      <c r="M47" s="2"/>
    </row>
    <row r="48" spans="1:13">
      <c r="A48" s="3"/>
      <c r="B48" s="2">
        <v>45</v>
      </c>
      <c r="C48" s="2"/>
      <c r="D48" s="2"/>
      <c r="E48" s="2"/>
      <c r="F48" s="2"/>
      <c r="G48" s="2"/>
      <c r="H48" s="2"/>
      <c r="I48" s="2"/>
      <c r="J48" s="2"/>
      <c r="K48" s="2"/>
      <c r="L48" s="2"/>
      <c r="M48" s="2"/>
    </row>
    <row r="49" spans="1:13">
      <c r="A49" s="3"/>
      <c r="B49" s="2">
        <v>46</v>
      </c>
      <c r="C49" s="2"/>
      <c r="D49" s="2"/>
      <c r="E49" s="2"/>
      <c r="F49" s="2"/>
      <c r="G49" s="2"/>
      <c r="H49" s="2"/>
      <c r="I49" s="2"/>
      <c r="J49" s="2"/>
      <c r="K49" s="2"/>
      <c r="L49" s="2"/>
      <c r="M49" s="2"/>
    </row>
    <row r="50" spans="1:13">
      <c r="A50" s="3"/>
      <c r="B50" s="2">
        <v>47</v>
      </c>
      <c r="C50" s="2"/>
      <c r="D50" s="2"/>
      <c r="E50" s="2"/>
      <c r="F50" s="2"/>
      <c r="G50" s="2"/>
      <c r="H50" s="2"/>
      <c r="I50" s="2"/>
      <c r="J50" s="2"/>
      <c r="K50" s="2"/>
      <c r="L50" s="2"/>
      <c r="M50" s="2"/>
    </row>
    <row r="51" spans="1:13">
      <c r="A51" s="3"/>
      <c r="B51" s="2">
        <v>48</v>
      </c>
      <c r="C51" s="2"/>
      <c r="D51" s="2"/>
      <c r="E51" s="2"/>
      <c r="F51" s="2"/>
      <c r="G51" s="2"/>
      <c r="H51" s="2"/>
      <c r="I51" s="2"/>
      <c r="J51" s="2"/>
      <c r="K51" s="2"/>
      <c r="L51" s="2"/>
      <c r="M51" s="2"/>
    </row>
    <row r="52" spans="1:13">
      <c r="A52" s="3"/>
      <c r="B52" s="2">
        <v>49</v>
      </c>
      <c r="C52" s="2"/>
      <c r="D52" s="2"/>
      <c r="E52" s="2"/>
      <c r="F52" s="2"/>
      <c r="G52" s="2"/>
      <c r="H52" s="2"/>
      <c r="I52" s="2"/>
      <c r="J52" s="2"/>
      <c r="K52" s="2"/>
      <c r="L52" s="2"/>
      <c r="M52" s="2"/>
    </row>
    <row r="53" spans="1:13">
      <c r="A53" s="3"/>
      <c r="B53" s="2">
        <v>50</v>
      </c>
      <c r="C53" s="2"/>
      <c r="D53" s="2"/>
      <c r="E53" s="2"/>
      <c r="F53" s="2"/>
      <c r="G53" s="2"/>
      <c r="H53" s="2"/>
      <c r="I53" s="2"/>
      <c r="J53" s="2"/>
      <c r="K53" s="2"/>
      <c r="L53" s="2"/>
      <c r="M53" s="2"/>
    </row>
    <row r="54" spans="1:13">
      <c r="A54" s="3"/>
      <c r="B54" s="2">
        <v>51</v>
      </c>
      <c r="C54" s="2"/>
      <c r="D54" s="2"/>
      <c r="E54" s="2"/>
      <c r="F54" s="2"/>
      <c r="G54" s="2"/>
      <c r="H54" s="2"/>
      <c r="I54" s="2"/>
      <c r="J54" s="2"/>
      <c r="K54" s="2"/>
      <c r="L54" s="2"/>
      <c r="M54" s="2"/>
    </row>
    <row r="55" spans="1:13">
      <c r="A55" s="3"/>
      <c r="B55" s="2">
        <v>52</v>
      </c>
      <c r="C55" s="2"/>
      <c r="D55" s="2"/>
      <c r="E55" s="2"/>
      <c r="F55" s="2"/>
      <c r="G55" s="2"/>
      <c r="H55" s="2"/>
      <c r="I55" s="2"/>
      <c r="J55" s="2"/>
      <c r="K55" s="2"/>
      <c r="L55" s="2"/>
      <c r="M55" s="2"/>
    </row>
    <row r="56" spans="1:13">
      <c r="A56" s="3"/>
      <c r="B56" s="2">
        <v>53</v>
      </c>
      <c r="C56" s="2"/>
      <c r="D56" s="2"/>
      <c r="E56" s="2"/>
      <c r="F56" s="2"/>
      <c r="G56" s="2"/>
      <c r="H56" s="2"/>
      <c r="I56" s="2"/>
      <c r="J56" s="2"/>
      <c r="K56" s="2"/>
      <c r="L56" s="2"/>
      <c r="M56" s="2"/>
    </row>
    <row r="57" spans="1:13">
      <c r="A57" s="3"/>
      <c r="B57" s="2">
        <v>54</v>
      </c>
      <c r="C57" s="2"/>
      <c r="D57" s="2"/>
      <c r="E57" s="2"/>
      <c r="F57" s="2"/>
      <c r="G57" s="2"/>
      <c r="H57" s="2"/>
      <c r="I57" s="2"/>
      <c r="J57" s="2"/>
      <c r="K57" s="2"/>
      <c r="L57" s="2"/>
      <c r="M57" s="2"/>
    </row>
    <row r="58" spans="1:13">
      <c r="A58" s="3"/>
      <c r="B58" s="2">
        <v>55</v>
      </c>
      <c r="C58" s="2"/>
      <c r="D58" s="2"/>
      <c r="E58" s="2"/>
      <c r="F58" s="2"/>
      <c r="G58" s="2"/>
      <c r="H58" s="2"/>
      <c r="I58" s="2"/>
      <c r="J58" s="2"/>
      <c r="K58" s="2"/>
      <c r="L58" s="2"/>
      <c r="M58" s="2"/>
    </row>
    <row r="59" spans="1:13">
      <c r="A59" s="3"/>
      <c r="B59" s="2">
        <v>56</v>
      </c>
      <c r="C59" s="2"/>
      <c r="D59" s="2"/>
      <c r="E59" s="2"/>
      <c r="F59" s="2"/>
      <c r="G59" s="2"/>
      <c r="H59" s="2"/>
      <c r="I59" s="2"/>
      <c r="J59" s="2"/>
      <c r="K59" s="2"/>
      <c r="L59" s="2"/>
      <c r="M59" s="2"/>
    </row>
    <row r="60" spans="1:13">
      <c r="A60" s="3"/>
      <c r="B60" s="2">
        <v>57</v>
      </c>
      <c r="C60" s="2"/>
      <c r="D60" s="2"/>
      <c r="E60" s="2"/>
      <c r="F60" s="2"/>
      <c r="G60" s="2"/>
      <c r="H60" s="2"/>
      <c r="I60" s="2"/>
      <c r="J60" s="2"/>
      <c r="K60" s="2"/>
      <c r="L60" s="2"/>
      <c r="M60" s="2"/>
    </row>
    <row r="61" spans="1:13">
      <c r="A61" s="3"/>
      <c r="B61" s="2">
        <v>58</v>
      </c>
      <c r="C61" s="2"/>
      <c r="D61" s="2"/>
      <c r="E61" s="2"/>
      <c r="F61" s="2"/>
      <c r="G61" s="2"/>
      <c r="H61" s="2"/>
      <c r="I61" s="2"/>
      <c r="J61" s="2"/>
      <c r="K61" s="2"/>
      <c r="L61" s="2"/>
      <c r="M61" s="2"/>
    </row>
    <row r="62" spans="1:13">
      <c r="A62" s="3"/>
      <c r="B62" s="2">
        <v>59</v>
      </c>
      <c r="C62" s="2"/>
      <c r="D62" s="2"/>
      <c r="E62" s="2"/>
      <c r="F62" s="2"/>
      <c r="G62" s="2"/>
      <c r="H62" s="2"/>
      <c r="I62" s="2"/>
      <c r="J62" s="2"/>
      <c r="K62" s="2"/>
      <c r="L62" s="2"/>
      <c r="M62" s="2"/>
    </row>
    <row r="63" spans="1:13">
      <c r="A63" s="3"/>
      <c r="B63" s="2">
        <v>60</v>
      </c>
      <c r="C63" s="2"/>
      <c r="D63" s="2"/>
      <c r="E63" s="2"/>
      <c r="F63" s="2"/>
      <c r="G63" s="2"/>
      <c r="H63" s="2"/>
      <c r="I63" s="2"/>
      <c r="J63" s="2"/>
      <c r="K63" s="2"/>
      <c r="L63" s="2"/>
      <c r="M63" s="2"/>
    </row>
    <row r="64" spans="1:13">
      <c r="A64" s="3"/>
      <c r="B64" s="2">
        <v>61</v>
      </c>
      <c r="C64" s="2"/>
      <c r="D64" s="2"/>
      <c r="E64" s="2"/>
      <c r="F64" s="2"/>
      <c r="G64" s="2"/>
      <c r="H64" s="2"/>
      <c r="I64" s="2"/>
      <c r="J64" s="2"/>
      <c r="K64" s="2"/>
      <c r="L64" s="2"/>
      <c r="M64" s="2"/>
    </row>
    <row r="65" spans="1:13">
      <c r="A65" s="3"/>
      <c r="B65" s="2">
        <v>62</v>
      </c>
      <c r="C65" s="2"/>
      <c r="D65" s="2"/>
      <c r="E65" s="2"/>
      <c r="F65" s="2"/>
      <c r="G65" s="2"/>
      <c r="H65" s="2"/>
      <c r="I65" s="2"/>
      <c r="J65" s="2"/>
      <c r="K65" s="2"/>
      <c r="L65" s="2"/>
      <c r="M65" s="2"/>
    </row>
    <row r="66" spans="1:13">
      <c r="A66" s="3"/>
      <c r="B66" s="2">
        <v>63</v>
      </c>
      <c r="C66" s="2"/>
      <c r="D66" s="2"/>
      <c r="E66" s="2"/>
      <c r="F66" s="2"/>
      <c r="G66" s="2"/>
      <c r="H66" s="2"/>
      <c r="I66" s="2"/>
      <c r="J66" s="2"/>
      <c r="K66" s="2"/>
      <c r="L66" s="2"/>
      <c r="M66" s="2"/>
    </row>
    <row r="67" spans="1:13">
      <c r="A67" s="3"/>
      <c r="B67" s="2">
        <v>64</v>
      </c>
      <c r="C67" s="2"/>
      <c r="D67" s="2"/>
      <c r="E67" s="2"/>
      <c r="F67" s="2"/>
      <c r="G67" s="2"/>
      <c r="H67" s="2"/>
      <c r="I67" s="2"/>
      <c r="J67" s="2"/>
      <c r="K67" s="2"/>
      <c r="L67" s="2"/>
      <c r="M67" s="2"/>
    </row>
    <row r="68" spans="1:13">
      <c r="A68" s="3"/>
      <c r="B68" s="2">
        <v>65</v>
      </c>
      <c r="C68" s="2"/>
      <c r="D68" s="2"/>
      <c r="E68" s="2"/>
      <c r="F68" s="2"/>
      <c r="G68" s="2"/>
      <c r="H68" s="2"/>
      <c r="I68" s="2"/>
      <c r="J68" s="2"/>
      <c r="K68" s="2"/>
      <c r="L68" s="2"/>
      <c r="M68" s="2"/>
    </row>
    <row r="69" spans="1:13">
      <c r="A69" s="3"/>
      <c r="B69" s="2">
        <v>66</v>
      </c>
      <c r="C69" s="2"/>
      <c r="D69" s="2"/>
      <c r="E69" s="2"/>
      <c r="F69" s="2"/>
      <c r="G69" s="2"/>
      <c r="H69" s="2"/>
      <c r="I69" s="2"/>
      <c r="J69" s="2"/>
      <c r="K69" s="2"/>
      <c r="L69" s="2"/>
      <c r="M69" s="2"/>
    </row>
    <row r="70" spans="1:13">
      <c r="A70" s="3"/>
      <c r="B70" s="2">
        <v>67</v>
      </c>
      <c r="C70" s="2"/>
      <c r="D70" s="2"/>
      <c r="E70" s="2"/>
      <c r="F70" s="2"/>
      <c r="G70" s="2"/>
      <c r="H70" s="2"/>
      <c r="I70" s="2"/>
      <c r="J70" s="2"/>
      <c r="K70" s="2"/>
      <c r="L70" s="2"/>
      <c r="M70" s="2"/>
    </row>
    <row r="71" spans="1:13">
      <c r="A71" s="3"/>
      <c r="B71" s="2">
        <v>68</v>
      </c>
      <c r="C71" s="2"/>
      <c r="D71" s="2"/>
      <c r="E71" s="2"/>
      <c r="F71" s="2"/>
      <c r="G71" s="2"/>
      <c r="H71" s="2"/>
      <c r="I71" s="2"/>
      <c r="J71" s="2"/>
      <c r="K71" s="2"/>
      <c r="L71" s="2"/>
      <c r="M71" s="2"/>
    </row>
    <row r="72" spans="1:13">
      <c r="A72" s="3"/>
      <c r="B72" s="2">
        <v>69</v>
      </c>
      <c r="C72" s="2"/>
      <c r="D72" s="2"/>
      <c r="E72" s="2"/>
      <c r="F72" s="2"/>
      <c r="G72" s="2"/>
      <c r="H72" s="2"/>
      <c r="I72" s="2"/>
      <c r="J72" s="2"/>
      <c r="K72" s="2"/>
      <c r="L72" s="2"/>
      <c r="M72" s="2"/>
    </row>
    <row r="73" spans="1:13">
      <c r="A73" s="3"/>
      <c r="B73" s="2">
        <v>70</v>
      </c>
      <c r="C73" s="2"/>
      <c r="D73" s="2"/>
      <c r="E73" s="2"/>
      <c r="F73" s="2"/>
      <c r="G73" s="2"/>
      <c r="H73" s="2"/>
      <c r="I73" s="2"/>
      <c r="J73" s="2"/>
      <c r="K73" s="2"/>
      <c r="L73" s="2"/>
      <c r="M73" s="2"/>
    </row>
    <row r="74" spans="1:13">
      <c r="A74" s="3"/>
      <c r="B74" s="2">
        <v>71</v>
      </c>
      <c r="C74" s="2"/>
      <c r="D74" s="2"/>
      <c r="E74" s="2"/>
      <c r="F74" s="2"/>
      <c r="G74" s="2"/>
      <c r="H74" s="2"/>
      <c r="I74" s="2"/>
      <c r="J74" s="2"/>
      <c r="K74" s="2"/>
      <c r="L74" s="2"/>
      <c r="M74" s="2"/>
    </row>
    <row r="75" spans="1:13">
      <c r="A75" s="3"/>
      <c r="B75" s="2">
        <v>72</v>
      </c>
      <c r="C75" s="2"/>
      <c r="D75" s="2"/>
      <c r="E75" s="2"/>
      <c r="F75" s="2"/>
      <c r="G75" s="2"/>
      <c r="H75" s="2"/>
      <c r="I75" s="2"/>
      <c r="J75" s="2"/>
      <c r="K75" s="2"/>
      <c r="L75" s="2"/>
      <c r="M75" s="2"/>
    </row>
    <row r="76" spans="1:13">
      <c r="A76" s="3"/>
      <c r="B76" s="2">
        <v>73</v>
      </c>
      <c r="C76" s="2"/>
      <c r="D76" s="2"/>
      <c r="E76" s="2"/>
      <c r="F76" s="2"/>
      <c r="G76" s="2"/>
      <c r="H76" s="2"/>
      <c r="I76" s="2"/>
      <c r="J76" s="2"/>
      <c r="K76" s="2"/>
      <c r="L76" s="2"/>
      <c r="M76" s="2"/>
    </row>
    <row r="77" spans="1:13">
      <c r="A77" s="3"/>
      <c r="B77" s="2">
        <v>74</v>
      </c>
      <c r="C77" s="2"/>
      <c r="D77" s="2"/>
      <c r="E77" s="2"/>
      <c r="F77" s="2"/>
      <c r="G77" s="2"/>
      <c r="H77" s="2"/>
      <c r="I77" s="2"/>
      <c r="J77" s="2"/>
      <c r="K77" s="2"/>
      <c r="L77" s="2"/>
      <c r="M77" s="2"/>
    </row>
    <row r="78" spans="1:13">
      <c r="A78" s="3"/>
      <c r="B78" s="2">
        <v>75</v>
      </c>
      <c r="C78" s="2"/>
      <c r="D78" s="2"/>
      <c r="E78" s="2"/>
      <c r="F78" s="2"/>
      <c r="G78" s="2"/>
      <c r="H78" s="2"/>
      <c r="I78" s="2"/>
      <c r="J78" s="2"/>
      <c r="K78" s="2"/>
      <c r="L78" s="2"/>
      <c r="M78" s="2"/>
    </row>
    <row r="79" spans="1:13">
      <c r="A79" s="3"/>
      <c r="B79" s="2">
        <v>76</v>
      </c>
      <c r="C79" s="2"/>
      <c r="D79" s="2"/>
      <c r="E79" s="2"/>
      <c r="F79" s="2"/>
      <c r="G79" s="2"/>
      <c r="H79" s="2"/>
      <c r="I79" s="2"/>
      <c r="J79" s="2"/>
      <c r="K79" s="2"/>
      <c r="L79" s="2"/>
      <c r="M79" s="2"/>
    </row>
    <row r="80" spans="1:13">
      <c r="A80" s="3"/>
      <c r="B80" s="2">
        <v>77</v>
      </c>
      <c r="C80" s="2"/>
      <c r="D80" s="2"/>
      <c r="E80" s="2"/>
      <c r="F80" s="2"/>
      <c r="G80" s="2"/>
      <c r="H80" s="2"/>
      <c r="I80" s="2"/>
      <c r="J80" s="2"/>
      <c r="K80" s="2"/>
      <c r="L80" s="2"/>
      <c r="M80" s="2"/>
    </row>
    <row r="81" spans="1:13">
      <c r="A81" s="3"/>
      <c r="B81" s="2">
        <v>78</v>
      </c>
      <c r="C81" s="2"/>
      <c r="D81" s="2"/>
      <c r="E81" s="2"/>
      <c r="F81" s="2"/>
      <c r="G81" s="2"/>
      <c r="H81" s="2"/>
      <c r="I81" s="2"/>
      <c r="J81" s="2"/>
      <c r="K81" s="2"/>
      <c r="L81" s="2"/>
      <c r="M81" s="2"/>
    </row>
    <row r="82" spans="1:13">
      <c r="A82" s="3"/>
      <c r="B82" s="2">
        <v>79</v>
      </c>
      <c r="C82" s="2"/>
      <c r="D82" s="2"/>
      <c r="E82" s="2"/>
      <c r="F82" s="2"/>
      <c r="G82" s="2"/>
      <c r="H82" s="2"/>
      <c r="I82" s="2"/>
      <c r="J82" s="2"/>
      <c r="K82" s="2"/>
      <c r="L82" s="2"/>
      <c r="M82" s="2"/>
    </row>
    <row r="83" spans="1:13">
      <c r="A83" s="3"/>
      <c r="B83" s="2">
        <v>80</v>
      </c>
      <c r="C83" s="2"/>
      <c r="D83" s="2"/>
      <c r="E83" s="2"/>
      <c r="F83" s="2"/>
      <c r="G83" s="2"/>
      <c r="H83" s="2"/>
      <c r="I83" s="2"/>
      <c r="J83" s="2"/>
      <c r="K83" s="2"/>
      <c r="L83" s="2"/>
      <c r="M83" s="2"/>
    </row>
    <row r="84" spans="1:13">
      <c r="A84" s="3"/>
      <c r="B84" s="2">
        <v>81</v>
      </c>
      <c r="C84" s="2"/>
      <c r="D84" s="2"/>
      <c r="E84" s="2"/>
      <c r="F84" s="2"/>
      <c r="G84" s="2"/>
      <c r="H84" s="2"/>
      <c r="I84" s="2"/>
      <c r="J84" s="2"/>
      <c r="K84" s="2"/>
      <c r="L84" s="2"/>
      <c r="M84" s="2"/>
    </row>
    <row r="85" spans="1:13">
      <c r="A85" s="3"/>
      <c r="B85" s="2">
        <v>82</v>
      </c>
      <c r="C85" s="2"/>
      <c r="D85" s="2"/>
      <c r="E85" s="2"/>
      <c r="F85" s="2"/>
      <c r="G85" s="2"/>
      <c r="H85" s="2"/>
      <c r="I85" s="2"/>
      <c r="J85" s="2"/>
      <c r="K85" s="2"/>
      <c r="L85" s="2"/>
      <c r="M85" s="2"/>
    </row>
    <row r="86" spans="1:13">
      <c r="A86" s="3"/>
      <c r="B86" s="2">
        <v>83</v>
      </c>
      <c r="C86" s="2"/>
      <c r="D86" s="2"/>
      <c r="E86" s="2"/>
      <c r="F86" s="2"/>
      <c r="G86" s="2"/>
      <c r="H86" s="2"/>
      <c r="I86" s="2"/>
      <c r="J86" s="2"/>
      <c r="K86" s="2"/>
      <c r="L86" s="2"/>
      <c r="M86" s="2"/>
    </row>
    <row r="87" spans="1:13">
      <c r="A87" s="3"/>
      <c r="B87" s="2">
        <v>84</v>
      </c>
      <c r="C87" s="2"/>
      <c r="D87" s="2"/>
      <c r="E87" s="2"/>
      <c r="F87" s="2"/>
      <c r="G87" s="2"/>
      <c r="H87" s="2"/>
      <c r="I87" s="2"/>
      <c r="J87" s="2"/>
      <c r="K87" s="2"/>
      <c r="L87" s="2"/>
      <c r="M87" s="2"/>
    </row>
    <row r="88" spans="1:13">
      <c r="A88" s="3"/>
      <c r="B88" s="2">
        <v>85</v>
      </c>
      <c r="C88" s="2"/>
      <c r="D88" s="2"/>
      <c r="E88" s="2"/>
      <c r="F88" s="2"/>
      <c r="G88" s="2"/>
      <c r="H88" s="2"/>
      <c r="I88" s="2"/>
      <c r="J88" s="2"/>
      <c r="K88" s="2"/>
      <c r="L88" s="2"/>
      <c r="M88" s="2"/>
    </row>
    <row r="89" spans="1:13">
      <c r="A89" s="3"/>
      <c r="B89" s="2">
        <v>86</v>
      </c>
      <c r="C89" s="2"/>
      <c r="D89" s="2"/>
      <c r="E89" s="2"/>
      <c r="F89" s="2"/>
      <c r="G89" s="2"/>
      <c r="H89" s="2"/>
      <c r="I89" s="2"/>
      <c r="J89" s="2"/>
      <c r="K89" s="2"/>
      <c r="L89" s="2"/>
      <c r="M89" s="2"/>
    </row>
    <row r="90" spans="1:13">
      <c r="A90" s="3"/>
      <c r="B90" s="2">
        <v>87</v>
      </c>
      <c r="C90" s="2"/>
      <c r="D90" s="2"/>
      <c r="E90" s="2"/>
      <c r="F90" s="2"/>
      <c r="G90" s="2"/>
      <c r="H90" s="2"/>
      <c r="I90" s="2"/>
      <c r="J90" s="2"/>
      <c r="K90" s="2"/>
      <c r="L90" s="2"/>
      <c r="M90" s="2"/>
    </row>
    <row r="91" spans="1:13">
      <c r="A91" s="3"/>
      <c r="B91" s="2">
        <v>88</v>
      </c>
      <c r="C91" s="2"/>
      <c r="D91" s="2"/>
      <c r="E91" s="2"/>
      <c r="F91" s="2"/>
      <c r="G91" s="2"/>
      <c r="H91" s="2"/>
      <c r="I91" s="2"/>
      <c r="J91" s="2"/>
      <c r="K91" s="2"/>
      <c r="L91" s="2"/>
      <c r="M91" s="2"/>
    </row>
    <row r="92" spans="1:13">
      <c r="A92" s="3"/>
      <c r="B92" s="2">
        <v>89</v>
      </c>
      <c r="C92" s="2"/>
      <c r="D92" s="2"/>
      <c r="E92" s="2"/>
      <c r="F92" s="2"/>
      <c r="G92" s="2"/>
      <c r="H92" s="2"/>
      <c r="I92" s="2"/>
      <c r="J92" s="2"/>
      <c r="K92" s="2"/>
      <c r="L92" s="2"/>
      <c r="M92" s="2"/>
    </row>
    <row r="93" spans="1:13">
      <c r="A93" s="3"/>
      <c r="B93" s="2">
        <v>90</v>
      </c>
      <c r="C93" s="2"/>
      <c r="D93" s="2"/>
      <c r="E93" s="2"/>
      <c r="F93" s="2"/>
      <c r="G93" s="2"/>
      <c r="H93" s="2"/>
      <c r="I93" s="2"/>
      <c r="J93" s="2"/>
      <c r="K93" s="2"/>
      <c r="L93" s="2"/>
      <c r="M93" s="2"/>
    </row>
    <row r="94" spans="1:13">
      <c r="A94" s="3"/>
      <c r="B94" s="2">
        <v>91</v>
      </c>
      <c r="C94" s="2"/>
      <c r="D94" s="2"/>
      <c r="E94" s="2"/>
      <c r="F94" s="2"/>
      <c r="G94" s="2"/>
      <c r="H94" s="2"/>
      <c r="I94" s="2"/>
      <c r="J94" s="2"/>
      <c r="K94" s="2"/>
      <c r="L94" s="2"/>
      <c r="M94" s="2"/>
    </row>
    <row r="95" spans="1:13">
      <c r="A95" s="3"/>
      <c r="B95" s="2">
        <v>92</v>
      </c>
      <c r="C95" s="2"/>
      <c r="D95" s="2"/>
      <c r="E95" s="2"/>
      <c r="F95" s="2"/>
      <c r="G95" s="2"/>
      <c r="H95" s="2"/>
      <c r="I95" s="2"/>
      <c r="J95" s="2"/>
      <c r="K95" s="2"/>
      <c r="L95" s="2"/>
      <c r="M95" s="2"/>
    </row>
    <row r="96" spans="1:13">
      <c r="A96" s="3"/>
      <c r="B96" s="2">
        <v>93</v>
      </c>
      <c r="C96" s="2"/>
      <c r="D96" s="2"/>
      <c r="E96" s="2"/>
      <c r="F96" s="2"/>
      <c r="G96" s="2"/>
      <c r="H96" s="2"/>
      <c r="I96" s="2"/>
      <c r="J96" s="2"/>
      <c r="K96" s="2"/>
      <c r="L96" s="2"/>
      <c r="M96" s="2"/>
    </row>
    <row r="97" spans="1:13">
      <c r="A97" s="3"/>
      <c r="B97" s="2">
        <v>94</v>
      </c>
      <c r="C97" s="2"/>
      <c r="D97" s="2"/>
      <c r="E97" s="2"/>
      <c r="F97" s="2"/>
      <c r="G97" s="2"/>
      <c r="H97" s="2"/>
      <c r="I97" s="2"/>
      <c r="J97" s="2"/>
      <c r="K97" s="2"/>
      <c r="L97" s="2"/>
      <c r="M97" s="2"/>
    </row>
    <row r="98" spans="1:13">
      <c r="A98" s="3"/>
      <c r="B98" s="2">
        <v>95</v>
      </c>
      <c r="C98" s="2"/>
      <c r="D98" s="2"/>
      <c r="E98" s="2"/>
      <c r="F98" s="2"/>
      <c r="G98" s="2"/>
      <c r="H98" s="2"/>
      <c r="I98" s="2"/>
      <c r="J98" s="2"/>
      <c r="K98" s="2"/>
      <c r="L98" s="2"/>
      <c r="M98" s="2"/>
    </row>
    <row r="99" spans="1:13">
      <c r="A99" s="3"/>
      <c r="B99" s="2">
        <v>96</v>
      </c>
      <c r="C99" s="2"/>
      <c r="D99" s="2"/>
      <c r="E99" s="2"/>
      <c r="F99" s="2"/>
      <c r="G99" s="2"/>
      <c r="H99" s="2"/>
      <c r="I99" s="2"/>
      <c r="J99" s="2"/>
      <c r="K99" s="2"/>
      <c r="L99" s="2"/>
      <c r="M99" s="2"/>
    </row>
    <row r="100" spans="1:13">
      <c r="A100" s="3"/>
      <c r="B100" s="2">
        <v>97</v>
      </c>
      <c r="C100" s="2"/>
      <c r="D100" s="2"/>
      <c r="E100" s="2"/>
      <c r="F100" s="2"/>
      <c r="G100" s="2"/>
      <c r="H100" s="2"/>
      <c r="I100" s="2"/>
      <c r="J100" s="2"/>
      <c r="K100" s="2"/>
      <c r="L100" s="2"/>
      <c r="M100" s="2"/>
    </row>
    <row r="101" spans="1:13">
      <c r="A101" s="3"/>
      <c r="B101" s="2">
        <v>98</v>
      </c>
      <c r="C101" s="2"/>
      <c r="D101" s="2"/>
      <c r="E101" s="2"/>
      <c r="F101" s="2"/>
      <c r="G101" s="2"/>
      <c r="H101" s="2"/>
      <c r="I101" s="2"/>
      <c r="J101" s="2"/>
      <c r="K101" s="2"/>
      <c r="L101" s="2"/>
      <c r="M101" s="2"/>
    </row>
    <row r="102" spans="1:13">
      <c r="A102" s="3"/>
      <c r="B102" s="2">
        <v>99</v>
      </c>
      <c r="C102" s="2"/>
      <c r="D102" s="2"/>
      <c r="E102" s="2"/>
      <c r="F102" s="2"/>
      <c r="G102" s="2"/>
      <c r="H102" s="2"/>
      <c r="I102" s="2"/>
      <c r="J102" s="2"/>
      <c r="K102" s="2"/>
      <c r="L102" s="2"/>
      <c r="M102" s="2"/>
    </row>
    <row r="103" spans="1:13">
      <c r="A103" s="3"/>
      <c r="B103" s="2">
        <v>100</v>
      </c>
      <c r="C103" s="2"/>
      <c r="D103" s="2"/>
      <c r="E103" s="2"/>
      <c r="F103" s="2"/>
      <c r="G103" s="2"/>
      <c r="H103" s="2"/>
      <c r="I103" s="2"/>
      <c r="J103" s="2"/>
      <c r="K103" s="2"/>
      <c r="L103" s="2"/>
      <c r="M103" s="2"/>
    </row>
    <row r="104" spans="1:13">
      <c r="A104" s="3"/>
      <c r="B104" s="2">
        <v>101</v>
      </c>
      <c r="C104" s="2"/>
      <c r="D104" s="2"/>
      <c r="E104" s="2"/>
      <c r="F104" s="2"/>
      <c r="G104" s="2"/>
      <c r="H104" s="2"/>
      <c r="I104" s="2"/>
      <c r="J104" s="2"/>
      <c r="K104" s="2"/>
      <c r="L104" s="2"/>
      <c r="M104" s="2"/>
    </row>
    <row r="105" spans="1:13">
      <c r="A105" s="3"/>
      <c r="B105" s="2">
        <v>102</v>
      </c>
      <c r="C105" s="2"/>
      <c r="D105" s="2"/>
      <c r="E105" s="2"/>
      <c r="F105" s="2"/>
      <c r="G105" s="2"/>
      <c r="H105" s="2"/>
      <c r="I105" s="2"/>
      <c r="J105" s="2"/>
      <c r="K105" s="2"/>
      <c r="L105" s="2"/>
      <c r="M105" s="2"/>
    </row>
    <row r="106" spans="1:13">
      <c r="A106" s="3"/>
      <c r="B106" s="2">
        <v>103</v>
      </c>
      <c r="C106" s="2"/>
      <c r="D106" s="2"/>
      <c r="E106" s="2"/>
      <c r="F106" s="2"/>
      <c r="G106" s="2"/>
      <c r="H106" s="2"/>
      <c r="I106" s="2"/>
      <c r="J106" s="2"/>
      <c r="K106" s="2"/>
      <c r="L106" s="2"/>
      <c r="M106" s="2"/>
    </row>
    <row r="107" spans="1:13">
      <c r="A107" s="3"/>
      <c r="B107" s="2">
        <v>104</v>
      </c>
      <c r="C107" s="2"/>
      <c r="D107" s="2"/>
      <c r="E107" s="2"/>
      <c r="F107" s="2"/>
      <c r="G107" s="2"/>
      <c r="H107" s="2"/>
      <c r="I107" s="2"/>
      <c r="J107" s="2"/>
      <c r="K107" s="2"/>
      <c r="L107" s="2"/>
      <c r="M107" s="2"/>
    </row>
    <row r="108" spans="1:13">
      <c r="A108" s="3"/>
      <c r="B108" s="2">
        <v>105</v>
      </c>
      <c r="C108" s="2"/>
      <c r="D108" s="2"/>
      <c r="E108" s="2"/>
      <c r="F108" s="2"/>
      <c r="G108" s="2"/>
      <c r="H108" s="2"/>
      <c r="I108" s="2"/>
      <c r="J108" s="2"/>
      <c r="K108" s="2"/>
      <c r="L108" s="2"/>
      <c r="M108" s="2"/>
    </row>
    <row r="109" spans="1:13">
      <c r="A109" s="3"/>
      <c r="B109" s="2">
        <v>106</v>
      </c>
      <c r="C109" s="2"/>
      <c r="D109" s="2"/>
      <c r="E109" s="2"/>
      <c r="F109" s="2"/>
      <c r="G109" s="2"/>
      <c r="H109" s="2"/>
      <c r="I109" s="2"/>
      <c r="J109" s="2"/>
      <c r="K109" s="2"/>
      <c r="L109" s="2"/>
      <c r="M109" s="2"/>
    </row>
    <row r="110" spans="1:13">
      <c r="A110" s="3"/>
      <c r="B110" s="2">
        <v>107</v>
      </c>
      <c r="C110" s="2"/>
      <c r="D110" s="2"/>
      <c r="E110" s="2"/>
      <c r="F110" s="2"/>
      <c r="G110" s="2"/>
      <c r="H110" s="2"/>
      <c r="I110" s="2"/>
      <c r="J110" s="2"/>
      <c r="K110" s="2"/>
      <c r="L110" s="2"/>
      <c r="M110" s="2"/>
    </row>
    <row r="111" spans="1:13">
      <c r="A111" s="3"/>
      <c r="B111" s="2">
        <v>108</v>
      </c>
      <c r="C111" s="2"/>
      <c r="D111" s="2"/>
      <c r="E111" s="2"/>
      <c r="F111" s="2"/>
      <c r="G111" s="2"/>
      <c r="H111" s="2"/>
      <c r="I111" s="2"/>
      <c r="J111" s="2"/>
      <c r="K111" s="2"/>
      <c r="L111" s="2"/>
      <c r="M111" s="2"/>
    </row>
    <row r="112" spans="1:13">
      <c r="A112" s="3"/>
      <c r="B112" s="2">
        <v>109</v>
      </c>
      <c r="C112" s="2"/>
      <c r="D112" s="2"/>
      <c r="E112" s="2"/>
      <c r="F112" s="2"/>
      <c r="G112" s="2"/>
      <c r="H112" s="2"/>
      <c r="I112" s="2"/>
      <c r="J112" s="2"/>
      <c r="K112" s="2"/>
      <c r="L112" s="2"/>
      <c r="M112" s="2"/>
    </row>
    <row r="113" spans="1:13">
      <c r="A113" s="3"/>
      <c r="B113" s="2">
        <v>110</v>
      </c>
      <c r="C113" s="2"/>
      <c r="D113" s="2"/>
      <c r="E113" s="2"/>
      <c r="F113" s="2"/>
      <c r="G113" s="2"/>
      <c r="H113" s="2"/>
      <c r="I113" s="2"/>
      <c r="J113" s="2"/>
      <c r="K113" s="2"/>
      <c r="L113" s="2"/>
      <c r="M113" s="2"/>
    </row>
    <row r="114" spans="1:13">
      <c r="A114" s="3"/>
      <c r="B114" s="2">
        <v>111</v>
      </c>
      <c r="C114" s="2"/>
      <c r="D114" s="2"/>
      <c r="E114" s="2"/>
      <c r="F114" s="2"/>
      <c r="G114" s="2"/>
      <c r="H114" s="2"/>
      <c r="I114" s="2"/>
      <c r="J114" s="2"/>
      <c r="K114" s="2"/>
      <c r="L114" s="2"/>
      <c r="M114" s="2"/>
    </row>
    <row r="115" spans="1:13">
      <c r="A115" s="3"/>
      <c r="B115" s="2">
        <v>112</v>
      </c>
      <c r="C115" s="2"/>
      <c r="D115" s="2"/>
      <c r="E115" s="2"/>
      <c r="F115" s="2"/>
      <c r="G115" s="2"/>
      <c r="H115" s="2"/>
      <c r="I115" s="2"/>
      <c r="J115" s="2"/>
      <c r="K115" s="2"/>
      <c r="L115" s="2"/>
      <c r="M115" s="2"/>
    </row>
    <row r="116" spans="1:13">
      <c r="A116" s="3"/>
      <c r="B116" s="2">
        <v>113</v>
      </c>
      <c r="C116" s="2"/>
      <c r="D116" s="2"/>
      <c r="E116" s="2"/>
      <c r="F116" s="2"/>
      <c r="G116" s="2"/>
      <c r="H116" s="2"/>
      <c r="I116" s="2"/>
      <c r="J116" s="2"/>
      <c r="K116" s="2"/>
      <c r="L116" s="2"/>
      <c r="M116" s="2"/>
    </row>
    <row r="117" spans="1:13">
      <c r="A117" s="3"/>
      <c r="B117" s="2">
        <v>114</v>
      </c>
      <c r="C117" s="2"/>
      <c r="D117" s="2"/>
      <c r="E117" s="2"/>
      <c r="F117" s="2"/>
      <c r="G117" s="2"/>
      <c r="H117" s="2"/>
      <c r="I117" s="2"/>
      <c r="J117" s="2"/>
      <c r="K117" s="2"/>
      <c r="L117" s="2"/>
      <c r="M117" s="2"/>
    </row>
    <row r="118" spans="1:13">
      <c r="A118" s="3"/>
      <c r="B118" s="2">
        <v>115</v>
      </c>
      <c r="C118" s="2"/>
      <c r="D118" s="2"/>
      <c r="E118" s="2"/>
      <c r="F118" s="2"/>
      <c r="G118" s="2"/>
      <c r="H118" s="2"/>
      <c r="I118" s="2"/>
      <c r="J118" s="2"/>
      <c r="K118" s="2"/>
      <c r="L118" s="2"/>
      <c r="M118" s="2"/>
    </row>
    <row r="119" spans="1:13">
      <c r="A119" s="3"/>
      <c r="B119" s="2">
        <v>116</v>
      </c>
      <c r="C119" s="2"/>
      <c r="D119" s="2"/>
      <c r="E119" s="2"/>
      <c r="F119" s="2"/>
      <c r="G119" s="2"/>
      <c r="H119" s="2"/>
      <c r="I119" s="2"/>
      <c r="J119" s="2"/>
      <c r="K119" s="2"/>
      <c r="L119" s="2"/>
      <c r="M119" s="2"/>
    </row>
    <row r="120" spans="1:13">
      <c r="A120" s="3"/>
      <c r="B120" s="2">
        <v>117</v>
      </c>
      <c r="C120" s="2"/>
      <c r="D120" s="2"/>
      <c r="E120" s="2"/>
      <c r="F120" s="2"/>
      <c r="G120" s="2"/>
      <c r="H120" s="2"/>
      <c r="I120" s="2"/>
      <c r="J120" s="2"/>
      <c r="K120" s="2"/>
      <c r="L120" s="2"/>
      <c r="M120" s="2"/>
    </row>
    <row r="121" spans="1:13">
      <c r="A121" s="3"/>
      <c r="B121" s="2">
        <v>118</v>
      </c>
      <c r="C121" s="2"/>
      <c r="D121" s="2"/>
      <c r="E121" s="2"/>
      <c r="F121" s="2"/>
      <c r="G121" s="2"/>
      <c r="H121" s="2"/>
      <c r="I121" s="2"/>
      <c r="J121" s="2"/>
      <c r="K121" s="2"/>
      <c r="L121" s="2"/>
      <c r="M121" s="2"/>
    </row>
    <row r="122" spans="1:13">
      <c r="A122" s="3"/>
      <c r="B122" s="2">
        <v>119</v>
      </c>
      <c r="C122" s="2"/>
      <c r="D122" s="2"/>
      <c r="E122" s="2"/>
      <c r="F122" s="2"/>
      <c r="G122" s="2"/>
      <c r="H122" s="2"/>
      <c r="I122" s="2"/>
      <c r="J122" s="2"/>
      <c r="K122" s="2"/>
      <c r="L122" s="2"/>
      <c r="M122" s="2"/>
    </row>
    <row r="123" spans="1:13">
      <c r="A123" s="3"/>
      <c r="B123" s="2">
        <v>120</v>
      </c>
      <c r="C123" s="2"/>
      <c r="D123" s="2"/>
      <c r="E123" s="2"/>
      <c r="F123" s="2"/>
      <c r="G123" s="2"/>
      <c r="H123" s="2"/>
      <c r="I123" s="2"/>
      <c r="J123" s="2"/>
      <c r="K123" s="2"/>
      <c r="L123" s="2"/>
      <c r="M123" s="2"/>
    </row>
  </sheetData>
  <mergeCells count="1">
    <mergeCell ref="B1:C1"/>
  </mergeCells>
  <conditionalFormatting sqref="B4:M123">
    <cfRule type="expression" dxfId="32" priority="1">
      <formula>AND(B$3&lt;&gt;"-",LEN(B4)&gt;B$3)</formula>
    </cfRule>
    <cfRule type="expression" dxfId="31" priority="2">
      <formula>ISERROR(B$2)</formula>
    </cfRule>
    <cfRule type="expression" dxfId="30" priority="3">
      <formula>AND(B$3&lt;&gt;"-",LEN(B4)&gt;B$3)</formula>
    </cfRule>
    <cfRule type="expression" dxfId="29" priority="4">
      <formula>ISERROR(B$2)</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Feuil12">
    <tabColor rgb="FF00B050"/>
  </sheetPr>
  <dimension ref="A1:M123"/>
  <sheetViews>
    <sheetView zoomScale="85" zoomScaleNormal="85" workbookViewId="0">
      <pane ySplit="3" topLeftCell="A4" activePane="bottomLeft" state="frozen"/>
      <selection activeCell="G20" sqref="G20"/>
      <selection pane="bottomLeft" activeCell="G16" sqref="G16"/>
    </sheetView>
  </sheetViews>
  <sheetFormatPr baseColWidth="10" defaultRowHeight="15"/>
  <cols>
    <col min="2" max="11" width="14.7109375" customWidth="1"/>
  </cols>
  <sheetData>
    <row r="1" spans="1:13" ht="15.75" thickBot="1">
      <c r="A1" s="1" t="s">
        <v>7</v>
      </c>
      <c r="B1" s="29" t="s">
        <v>285</v>
      </c>
      <c r="C1" s="30"/>
      <c r="D1" s="12"/>
      <c r="E1" s="13"/>
      <c r="F1" s="13"/>
      <c r="G1" s="13"/>
      <c r="H1" s="13"/>
      <c r="I1" s="13"/>
      <c r="J1" s="13"/>
      <c r="K1" s="13"/>
      <c r="L1" s="13"/>
      <c r="M1" s="14"/>
    </row>
    <row r="2" spans="1:13" s="6" customFormat="1" ht="24.75" customHeight="1">
      <c r="A2" s="4" t="s">
        <v>5</v>
      </c>
      <c r="B2" s="5" t="str">
        <f t="array" ref="B2:M2">VLOOKUP($B$1&amp;(COLUMN()-1),SQL_Definition[],4,FALSE)</f>
        <v>ID_MenuItem</v>
      </c>
      <c r="C2" s="5" t="str">
        <v>Txt_Item%Name</v>
      </c>
      <c r="D2" s="11" t="str">
        <v>Txt_ItemTitle%Fr</v>
      </c>
      <c r="E2" s="11" t="str">
        <v>Txt_ItemTitle%En</v>
      </c>
      <c r="F2" s="11" t="str">
        <v>Txt_ItemTitle%Tw</v>
      </c>
      <c r="G2" s="11" t="str">
        <v>Txt_ItemTitle%Vn</v>
      </c>
      <c r="H2" s="11" t="str">
        <v>Txt_PicName</v>
      </c>
      <c r="I2" s="11" t="str">
        <v>Int_Item%Order</v>
      </c>
      <c r="J2" s="11" t="str">
        <v>Dble_Price</v>
      </c>
      <c r="K2" s="5" t="e">
        <v>#N/A</v>
      </c>
      <c r="L2" s="5" t="e">
        <v>#N/A</v>
      </c>
      <c r="M2" s="5" t="e">
        <v>#N/A</v>
      </c>
    </row>
    <row r="3" spans="1:13" s="6" customFormat="1">
      <c r="A3" s="4" t="s">
        <v>9</v>
      </c>
      <c r="B3" s="5">
        <f t="array" ref="B3:M3">VLOOKUP($B$1&amp;(COLUMN()-1),SQL_Definition[],6,FALSE)</f>
        <v>4</v>
      </c>
      <c r="C3" s="5">
        <v>80</v>
      </c>
      <c r="D3" s="5">
        <v>100</v>
      </c>
      <c r="E3" s="5">
        <v>80</v>
      </c>
      <c r="F3" s="5">
        <v>80</v>
      </c>
      <c r="G3" s="5">
        <v>80</v>
      </c>
      <c r="H3" s="5">
        <v>20</v>
      </c>
      <c r="I3" s="5">
        <v>4</v>
      </c>
      <c r="J3" s="5">
        <v>5</v>
      </c>
      <c r="K3" s="5" t="e">
        <v>#N/A</v>
      </c>
      <c r="L3" s="5" t="e">
        <v>#N/A</v>
      </c>
      <c r="M3" s="5" t="e">
        <v>#N/A</v>
      </c>
    </row>
    <row r="4" spans="1:13">
      <c r="A4" s="3"/>
      <c r="B4" s="2">
        <v>1</v>
      </c>
      <c r="C4" s="2" t="s">
        <v>448</v>
      </c>
      <c r="D4" s="2" t="s">
        <v>449</v>
      </c>
      <c r="E4" s="2" t="s">
        <v>450</v>
      </c>
      <c r="F4" s="2"/>
      <c r="G4" s="2" t="s">
        <v>451</v>
      </c>
      <c r="H4" s="2"/>
      <c r="I4" s="2">
        <v>1</v>
      </c>
      <c r="J4" s="2">
        <v>6</v>
      </c>
      <c r="K4" s="2"/>
      <c r="L4" s="2"/>
      <c r="M4" s="2"/>
    </row>
    <row r="5" spans="1:13">
      <c r="A5" s="3"/>
      <c r="B5" s="2">
        <v>2</v>
      </c>
      <c r="C5" s="2" t="s">
        <v>452</v>
      </c>
      <c r="D5" s="2" t="s">
        <v>453</v>
      </c>
      <c r="E5" s="2" t="s">
        <v>454</v>
      </c>
      <c r="F5" s="2"/>
      <c r="G5" s="2" t="s">
        <v>452</v>
      </c>
      <c r="H5" s="2"/>
      <c r="I5" s="2">
        <v>2</v>
      </c>
      <c r="J5" s="2">
        <v>8</v>
      </c>
      <c r="K5" s="2"/>
      <c r="L5" s="2"/>
      <c r="M5" s="2"/>
    </row>
    <row r="6" spans="1:13">
      <c r="A6" s="3"/>
      <c r="B6" s="2">
        <v>3</v>
      </c>
      <c r="C6" s="2" t="s">
        <v>455</v>
      </c>
      <c r="D6" s="2" t="s">
        <v>456</v>
      </c>
      <c r="E6" s="2" t="s">
        <v>457</v>
      </c>
      <c r="F6" s="2"/>
      <c r="G6" s="2" t="s">
        <v>455</v>
      </c>
      <c r="H6" s="2"/>
      <c r="I6" s="2">
        <v>3</v>
      </c>
      <c r="J6" s="2">
        <v>8</v>
      </c>
      <c r="K6" s="2"/>
      <c r="L6" s="2"/>
      <c r="M6" s="2"/>
    </row>
    <row r="7" spans="1:13">
      <c r="A7" s="3"/>
      <c r="B7" s="2">
        <v>4</v>
      </c>
      <c r="C7" s="2" t="s">
        <v>458</v>
      </c>
      <c r="D7" s="2" t="s">
        <v>459</v>
      </c>
      <c r="E7" s="2" t="s">
        <v>460</v>
      </c>
      <c r="F7" s="2"/>
      <c r="G7" s="2" t="s">
        <v>458</v>
      </c>
      <c r="H7" s="2"/>
      <c r="I7" s="2">
        <v>4</v>
      </c>
      <c r="J7" s="2">
        <v>9</v>
      </c>
      <c r="K7" s="2"/>
      <c r="L7" s="2"/>
      <c r="M7" s="2"/>
    </row>
    <row r="8" spans="1:13">
      <c r="A8" s="3"/>
      <c r="B8" s="2">
        <v>5</v>
      </c>
      <c r="C8" s="2" t="s">
        <v>461</v>
      </c>
      <c r="D8" s="2" t="s">
        <v>462</v>
      </c>
      <c r="E8" s="2" t="s">
        <v>463</v>
      </c>
      <c r="F8" s="2"/>
      <c r="G8" s="2" t="s">
        <v>461</v>
      </c>
      <c r="H8" s="2"/>
      <c r="I8" s="2">
        <v>5</v>
      </c>
      <c r="J8" s="2">
        <v>8</v>
      </c>
      <c r="K8" s="2"/>
      <c r="L8" s="2"/>
      <c r="M8" s="2"/>
    </row>
    <row r="9" spans="1:13">
      <c r="A9" s="3"/>
      <c r="B9" s="2">
        <v>6</v>
      </c>
      <c r="C9" s="2" t="s">
        <v>464</v>
      </c>
      <c r="D9" s="2" t="s">
        <v>465</v>
      </c>
      <c r="E9" s="2" t="s">
        <v>466</v>
      </c>
      <c r="F9" s="2"/>
      <c r="G9" s="2" t="s">
        <v>464</v>
      </c>
      <c r="H9" s="2"/>
      <c r="I9" s="2">
        <v>6</v>
      </c>
      <c r="J9" s="2">
        <v>6</v>
      </c>
      <c r="K9" s="2"/>
      <c r="L9" s="2"/>
      <c r="M9" s="2"/>
    </row>
    <row r="10" spans="1:13">
      <c r="A10" s="3"/>
      <c r="B10" s="2">
        <v>7</v>
      </c>
      <c r="C10" s="2" t="s">
        <v>467</v>
      </c>
      <c r="D10" s="2" t="s">
        <v>468</v>
      </c>
      <c r="E10" s="2" t="s">
        <v>469</v>
      </c>
      <c r="F10" s="2"/>
      <c r="G10" s="2" t="s">
        <v>467</v>
      </c>
      <c r="H10" s="2"/>
      <c r="I10" s="2">
        <v>7</v>
      </c>
      <c r="J10" s="2">
        <v>6</v>
      </c>
      <c r="K10" s="2"/>
      <c r="L10" s="2"/>
      <c r="M10" s="2"/>
    </row>
    <row r="11" spans="1:13">
      <c r="A11" s="3"/>
      <c r="B11" s="2">
        <v>8</v>
      </c>
      <c r="C11" s="2" t="s">
        <v>470</v>
      </c>
      <c r="D11" s="2" t="s">
        <v>471</v>
      </c>
      <c r="E11" s="2" t="s">
        <v>472</v>
      </c>
      <c r="F11" s="2"/>
      <c r="G11" s="2" t="s">
        <v>470</v>
      </c>
      <c r="H11" s="2"/>
      <c r="I11" s="2">
        <v>8</v>
      </c>
      <c r="J11" s="2">
        <v>6</v>
      </c>
      <c r="K11" s="2"/>
      <c r="L11" s="2"/>
      <c r="M11" s="2"/>
    </row>
    <row r="12" spans="1:13">
      <c r="A12" s="3"/>
      <c r="B12" s="2">
        <v>9</v>
      </c>
      <c r="C12" s="2" t="s">
        <v>473</v>
      </c>
      <c r="D12" s="2" t="s">
        <v>474</v>
      </c>
      <c r="E12" s="2" t="s">
        <v>475</v>
      </c>
      <c r="F12" s="2"/>
      <c r="G12" s="2" t="s">
        <v>473</v>
      </c>
      <c r="H12" s="2"/>
      <c r="I12" s="2">
        <v>9</v>
      </c>
      <c r="J12" s="2">
        <v>7.5</v>
      </c>
      <c r="K12" s="2"/>
      <c r="L12" s="2"/>
      <c r="M12" s="2"/>
    </row>
    <row r="13" spans="1:13">
      <c r="A13" s="3"/>
      <c r="B13" s="2">
        <v>10</v>
      </c>
      <c r="C13" s="2" t="s">
        <v>476</v>
      </c>
      <c r="D13" s="2" t="s">
        <v>477</v>
      </c>
      <c r="E13" s="2" t="s">
        <v>478</v>
      </c>
      <c r="F13" s="2"/>
      <c r="G13" s="2" t="s">
        <v>476</v>
      </c>
      <c r="H13" s="2"/>
      <c r="I13" s="2">
        <v>10</v>
      </c>
      <c r="J13" s="2">
        <v>7.5</v>
      </c>
      <c r="K13" s="2"/>
      <c r="L13" s="2"/>
      <c r="M13" s="2"/>
    </row>
    <row r="14" spans="1:13">
      <c r="A14" s="3"/>
      <c r="B14" s="2">
        <v>11</v>
      </c>
      <c r="C14" s="2" t="s">
        <v>479</v>
      </c>
      <c r="D14" s="2" t="s">
        <v>480</v>
      </c>
      <c r="E14" s="2" t="s">
        <v>481</v>
      </c>
      <c r="F14" s="2"/>
      <c r="G14" s="2" t="s">
        <v>479</v>
      </c>
      <c r="H14" s="2"/>
      <c r="I14" s="2">
        <v>11</v>
      </c>
      <c r="J14" s="2">
        <v>7.5</v>
      </c>
      <c r="K14" s="2"/>
      <c r="L14" s="2"/>
      <c r="M14" s="2"/>
    </row>
    <row r="15" spans="1:13">
      <c r="A15" s="3"/>
      <c r="B15" s="2">
        <v>12</v>
      </c>
      <c r="C15" s="2" t="s">
        <v>482</v>
      </c>
      <c r="D15" s="2" t="s">
        <v>483</v>
      </c>
      <c r="E15" s="2" t="s">
        <v>484</v>
      </c>
      <c r="F15" s="2"/>
      <c r="G15" s="2" t="s">
        <v>482</v>
      </c>
      <c r="H15" s="2"/>
      <c r="I15" s="2">
        <v>12</v>
      </c>
      <c r="J15" s="2">
        <v>7.5</v>
      </c>
      <c r="K15" s="2"/>
      <c r="L15" s="2"/>
      <c r="M15" s="2"/>
    </row>
    <row r="16" spans="1:13">
      <c r="A16" s="3"/>
      <c r="B16" s="2">
        <v>13</v>
      </c>
      <c r="C16" s="2" t="s">
        <v>485</v>
      </c>
      <c r="D16" s="2" t="s">
        <v>486</v>
      </c>
      <c r="E16" s="2" t="s">
        <v>487</v>
      </c>
      <c r="F16" s="2"/>
      <c r="G16" s="2" t="s">
        <v>473</v>
      </c>
      <c r="H16" s="2"/>
      <c r="I16" s="2">
        <v>13</v>
      </c>
      <c r="J16" s="2">
        <v>8</v>
      </c>
      <c r="K16" s="2"/>
      <c r="L16" s="2"/>
      <c r="M16" s="2"/>
    </row>
    <row r="17" spans="1:13">
      <c r="A17" s="3"/>
      <c r="B17" s="2">
        <v>14</v>
      </c>
      <c r="C17" s="2" t="s">
        <v>488</v>
      </c>
      <c r="D17" s="2" t="s">
        <v>489</v>
      </c>
      <c r="E17" s="2" t="s">
        <v>478</v>
      </c>
      <c r="F17" s="2"/>
      <c r="G17" s="2" t="s">
        <v>476</v>
      </c>
      <c r="H17" s="2"/>
      <c r="I17" s="2">
        <v>14</v>
      </c>
      <c r="J17" s="2">
        <v>8</v>
      </c>
      <c r="K17" s="2"/>
      <c r="L17" s="2"/>
      <c r="M17" s="2"/>
    </row>
    <row r="18" spans="1:13">
      <c r="A18" s="3"/>
      <c r="B18" s="2">
        <v>15</v>
      </c>
      <c r="C18" s="2" t="s">
        <v>490</v>
      </c>
      <c r="D18" s="2" t="s">
        <v>491</v>
      </c>
      <c r="E18" s="2" t="s">
        <v>481</v>
      </c>
      <c r="F18" s="2"/>
      <c r="G18" s="2" t="s">
        <v>479</v>
      </c>
      <c r="H18" s="2"/>
      <c r="I18" s="2">
        <v>15</v>
      </c>
      <c r="J18" s="2">
        <v>8</v>
      </c>
      <c r="K18" s="2"/>
      <c r="L18" s="2"/>
      <c r="M18" s="2"/>
    </row>
    <row r="19" spans="1:13">
      <c r="A19" s="3"/>
      <c r="B19" s="2">
        <v>16</v>
      </c>
      <c r="C19" s="2" t="s">
        <v>492</v>
      </c>
      <c r="D19" s="2" t="s">
        <v>493</v>
      </c>
      <c r="E19" s="2" t="s">
        <v>484</v>
      </c>
      <c r="F19" s="2"/>
      <c r="G19" s="2" t="s">
        <v>482</v>
      </c>
      <c r="H19" s="2"/>
      <c r="I19" s="2">
        <v>16</v>
      </c>
      <c r="J19" s="2">
        <v>8</v>
      </c>
      <c r="K19" s="2"/>
      <c r="L19" s="2"/>
      <c r="M19" s="2"/>
    </row>
    <row r="20" spans="1:13">
      <c r="A20" s="3"/>
      <c r="B20" s="2">
        <v>17</v>
      </c>
      <c r="C20" s="2" t="s">
        <v>494</v>
      </c>
      <c r="D20" s="2" t="s">
        <v>495</v>
      </c>
      <c r="E20" s="2" t="s">
        <v>496</v>
      </c>
      <c r="F20" s="2"/>
      <c r="G20" s="2" t="s">
        <v>494</v>
      </c>
      <c r="H20" s="2"/>
      <c r="I20" s="2">
        <v>17</v>
      </c>
      <c r="J20" s="2">
        <v>8</v>
      </c>
      <c r="K20" s="2"/>
      <c r="L20" s="2"/>
      <c r="M20" s="2"/>
    </row>
    <row r="21" spans="1:13">
      <c r="A21" s="3"/>
      <c r="B21" s="2">
        <v>18</v>
      </c>
      <c r="C21" s="2" t="s">
        <v>497</v>
      </c>
      <c r="D21" s="2" t="s">
        <v>498</v>
      </c>
      <c r="E21" s="2" t="s">
        <v>499</v>
      </c>
      <c r="F21" s="2"/>
      <c r="G21" s="2" t="s">
        <v>497</v>
      </c>
      <c r="H21" s="2"/>
      <c r="I21" s="2">
        <v>18</v>
      </c>
      <c r="J21" s="2">
        <v>8.5</v>
      </c>
      <c r="K21" s="2"/>
      <c r="L21" s="2"/>
      <c r="M21" s="2"/>
    </row>
    <row r="22" spans="1:13">
      <c r="A22" s="3"/>
      <c r="B22" s="2">
        <v>19</v>
      </c>
      <c r="C22" s="2" t="s">
        <v>500</v>
      </c>
      <c r="D22" s="2" t="s">
        <v>501</v>
      </c>
      <c r="E22" s="2" t="s">
        <v>502</v>
      </c>
      <c r="F22" s="2"/>
      <c r="G22" s="2" t="s">
        <v>500</v>
      </c>
      <c r="H22" s="2"/>
      <c r="I22" s="2">
        <v>19</v>
      </c>
      <c r="J22" s="2">
        <v>8</v>
      </c>
      <c r="K22" s="2"/>
      <c r="L22" s="2"/>
      <c r="M22" s="2"/>
    </row>
    <row r="23" spans="1:13">
      <c r="A23" s="3"/>
      <c r="B23" s="2">
        <v>20</v>
      </c>
      <c r="C23" s="2" t="s">
        <v>503</v>
      </c>
      <c r="D23" s="2" t="s">
        <v>504</v>
      </c>
      <c r="E23" s="2" t="s">
        <v>505</v>
      </c>
      <c r="F23" s="2"/>
      <c r="G23" s="2" t="s">
        <v>503</v>
      </c>
      <c r="H23" s="2"/>
      <c r="I23" s="2">
        <v>20</v>
      </c>
      <c r="J23" s="2">
        <v>8</v>
      </c>
      <c r="K23" s="2"/>
      <c r="L23" s="2"/>
      <c r="M23" s="2"/>
    </row>
    <row r="24" spans="1:13">
      <c r="A24" s="3"/>
      <c r="B24" s="2">
        <v>21</v>
      </c>
      <c r="C24" s="2" t="s">
        <v>506</v>
      </c>
      <c r="D24" s="2" t="s">
        <v>507</v>
      </c>
      <c r="E24" s="2" t="s">
        <v>508</v>
      </c>
      <c r="F24" s="2"/>
      <c r="G24" s="2" t="s">
        <v>506</v>
      </c>
      <c r="H24" s="2"/>
      <c r="I24" s="2">
        <v>21</v>
      </c>
      <c r="J24" s="2">
        <v>8</v>
      </c>
      <c r="K24" s="2"/>
      <c r="L24" s="2"/>
      <c r="M24" s="2"/>
    </row>
    <row r="25" spans="1:13">
      <c r="A25" s="3"/>
      <c r="B25" s="2">
        <v>22</v>
      </c>
      <c r="C25" s="2" t="s">
        <v>509</v>
      </c>
      <c r="D25" s="2" t="s">
        <v>510</v>
      </c>
      <c r="E25" s="2" t="s">
        <v>511</v>
      </c>
      <c r="F25" s="2"/>
      <c r="G25" s="2" t="s">
        <v>509</v>
      </c>
      <c r="H25" s="2"/>
      <c r="I25" s="2">
        <v>22</v>
      </c>
      <c r="J25" s="2">
        <v>8</v>
      </c>
      <c r="K25" s="2"/>
      <c r="L25" s="2"/>
      <c r="M25" s="2"/>
    </row>
    <row r="26" spans="1:13">
      <c r="A26" s="3"/>
      <c r="B26" s="2">
        <v>23</v>
      </c>
      <c r="C26" s="2" t="s">
        <v>512</v>
      </c>
      <c r="D26" s="2" t="s">
        <v>513</v>
      </c>
      <c r="E26" s="2" t="s">
        <v>514</v>
      </c>
      <c r="F26" s="2"/>
      <c r="G26" s="2" t="s">
        <v>512</v>
      </c>
      <c r="H26" s="2"/>
      <c r="I26" s="2">
        <v>23</v>
      </c>
      <c r="J26" s="2">
        <v>8</v>
      </c>
      <c r="K26" s="2"/>
      <c r="L26" s="2"/>
      <c r="M26" s="2"/>
    </row>
    <row r="27" spans="1:13">
      <c r="A27" s="3"/>
      <c r="B27" s="2">
        <v>24</v>
      </c>
      <c r="C27" s="2" t="s">
        <v>515</v>
      </c>
      <c r="D27" s="2" t="s">
        <v>516</v>
      </c>
      <c r="E27" s="2" t="s">
        <v>508</v>
      </c>
      <c r="F27" s="2"/>
      <c r="G27" s="2" t="s">
        <v>515</v>
      </c>
      <c r="H27" s="2"/>
      <c r="I27" s="2">
        <v>24</v>
      </c>
      <c r="J27" s="2">
        <v>8</v>
      </c>
      <c r="K27" s="2"/>
      <c r="L27" s="2"/>
      <c r="M27" s="2"/>
    </row>
    <row r="28" spans="1:13">
      <c r="A28" s="3"/>
      <c r="B28" s="2">
        <v>25</v>
      </c>
      <c r="C28" s="2" t="s">
        <v>517</v>
      </c>
      <c r="D28" s="2" t="s">
        <v>518</v>
      </c>
      <c r="E28" s="2" t="s">
        <v>519</v>
      </c>
      <c r="F28" s="2"/>
      <c r="G28" s="2" t="s">
        <v>517</v>
      </c>
      <c r="H28" s="2"/>
      <c r="I28" s="2">
        <v>25</v>
      </c>
      <c r="J28" s="2">
        <v>8</v>
      </c>
      <c r="K28" s="2"/>
      <c r="L28" s="2"/>
      <c r="M28" s="2"/>
    </row>
    <row r="29" spans="1:13">
      <c r="A29" s="3"/>
      <c r="B29" s="2">
        <v>26</v>
      </c>
      <c r="C29" s="2" t="s">
        <v>520</v>
      </c>
      <c r="D29" s="2" t="s">
        <v>521</v>
      </c>
      <c r="E29" s="2" t="s">
        <v>522</v>
      </c>
      <c r="F29" s="2"/>
      <c r="G29" s="2" t="s">
        <v>520</v>
      </c>
      <c r="H29" s="2"/>
      <c r="I29" s="2">
        <v>26</v>
      </c>
      <c r="J29" s="2">
        <v>8.5</v>
      </c>
      <c r="K29" s="2"/>
      <c r="L29" s="2"/>
      <c r="M29" s="2"/>
    </row>
    <row r="30" spans="1:13">
      <c r="A30" s="3"/>
      <c r="B30" s="2">
        <v>27</v>
      </c>
      <c r="C30" s="2" t="s">
        <v>523</v>
      </c>
      <c r="D30" s="2" t="s">
        <v>524</v>
      </c>
      <c r="E30" s="2" t="s">
        <v>525</v>
      </c>
      <c r="F30" s="2"/>
      <c r="G30" s="2" t="s">
        <v>523</v>
      </c>
      <c r="H30" s="2"/>
      <c r="I30" s="2">
        <v>27</v>
      </c>
      <c r="J30" s="2">
        <v>9.5</v>
      </c>
      <c r="K30" s="2"/>
      <c r="L30" s="2"/>
      <c r="M30" s="2"/>
    </row>
    <row r="31" spans="1:13">
      <c r="A31" s="3"/>
      <c r="B31" s="2">
        <v>28</v>
      </c>
      <c r="C31" s="2" t="s">
        <v>526</v>
      </c>
      <c r="D31" s="2" t="s">
        <v>527</v>
      </c>
      <c r="E31" s="2" t="s">
        <v>528</v>
      </c>
      <c r="F31" s="2"/>
      <c r="G31" s="2" t="s">
        <v>526</v>
      </c>
      <c r="H31" s="2"/>
      <c r="I31" s="2">
        <v>28</v>
      </c>
      <c r="J31" s="2">
        <v>8.5</v>
      </c>
      <c r="K31" s="2"/>
      <c r="L31" s="2"/>
      <c r="M31" s="2"/>
    </row>
    <row r="32" spans="1:13">
      <c r="A32" s="3"/>
      <c r="B32" s="2">
        <v>29</v>
      </c>
      <c r="C32" s="2" t="s">
        <v>529</v>
      </c>
      <c r="D32" s="2" t="s">
        <v>530</v>
      </c>
      <c r="E32" s="2" t="s">
        <v>531</v>
      </c>
      <c r="F32" s="2"/>
      <c r="G32" s="2" t="s">
        <v>529</v>
      </c>
      <c r="H32" s="2"/>
      <c r="I32" s="2">
        <v>29</v>
      </c>
      <c r="J32" s="2">
        <v>7.5</v>
      </c>
      <c r="K32" s="2"/>
      <c r="L32" s="2"/>
      <c r="M32" s="2"/>
    </row>
    <row r="33" spans="1:13">
      <c r="A33" s="3"/>
      <c r="B33" s="2">
        <v>30</v>
      </c>
      <c r="C33" s="2" t="s">
        <v>532</v>
      </c>
      <c r="D33" s="2" t="s">
        <v>533</v>
      </c>
      <c r="E33" s="2" t="s">
        <v>531</v>
      </c>
      <c r="F33" s="2"/>
      <c r="G33" s="2" t="s">
        <v>532</v>
      </c>
      <c r="H33" s="2"/>
      <c r="I33" s="2">
        <v>30</v>
      </c>
      <c r="J33" s="2">
        <v>7.5</v>
      </c>
      <c r="K33" s="2"/>
      <c r="L33" s="2"/>
      <c r="M33" s="2"/>
    </row>
    <row r="34" spans="1:13">
      <c r="A34" s="3"/>
      <c r="B34" s="2">
        <v>31</v>
      </c>
      <c r="C34" s="2" t="s">
        <v>534</v>
      </c>
      <c r="D34" s="2" t="s">
        <v>535</v>
      </c>
      <c r="E34" s="2" t="s">
        <v>536</v>
      </c>
      <c r="F34" s="2"/>
      <c r="G34" s="2" t="s">
        <v>534</v>
      </c>
      <c r="H34" s="2"/>
      <c r="I34" s="2">
        <v>31</v>
      </c>
      <c r="J34" s="2">
        <v>8</v>
      </c>
      <c r="K34" s="2"/>
      <c r="L34" s="2"/>
      <c r="M34" s="2"/>
    </row>
    <row r="35" spans="1:13">
      <c r="A35" s="3"/>
      <c r="B35" s="2">
        <v>32</v>
      </c>
      <c r="C35" s="2" t="s">
        <v>537</v>
      </c>
      <c r="D35" s="2" t="s">
        <v>538</v>
      </c>
      <c r="E35" s="2" t="s">
        <v>539</v>
      </c>
      <c r="F35" s="2"/>
      <c r="G35" s="2" t="s">
        <v>537</v>
      </c>
      <c r="H35" s="2"/>
      <c r="I35" s="2">
        <v>32</v>
      </c>
      <c r="J35" s="2">
        <v>7.5</v>
      </c>
      <c r="K35" s="2"/>
      <c r="L35" s="2"/>
      <c r="M35" s="2"/>
    </row>
    <row r="36" spans="1:13">
      <c r="A36" s="3"/>
      <c r="B36" s="2">
        <v>33</v>
      </c>
      <c r="C36" s="2" t="s">
        <v>540</v>
      </c>
      <c r="D36" s="2" t="s">
        <v>541</v>
      </c>
      <c r="E36" s="2" t="s">
        <v>542</v>
      </c>
      <c r="F36" s="2"/>
      <c r="G36" s="2" t="s">
        <v>540</v>
      </c>
      <c r="H36" s="2"/>
      <c r="I36" s="2">
        <v>33</v>
      </c>
      <c r="J36" s="2">
        <v>7.8</v>
      </c>
      <c r="K36" s="2"/>
      <c r="L36" s="2"/>
      <c r="M36" s="2"/>
    </row>
    <row r="37" spans="1:13">
      <c r="A37" s="3"/>
      <c r="B37" s="2">
        <v>34</v>
      </c>
      <c r="C37" s="2" t="s">
        <v>543</v>
      </c>
      <c r="D37" s="2" t="s">
        <v>544</v>
      </c>
      <c r="E37" s="2" t="s">
        <v>545</v>
      </c>
      <c r="F37" s="2"/>
      <c r="G37" s="2" t="s">
        <v>543</v>
      </c>
      <c r="H37" s="2"/>
      <c r="I37" s="2">
        <v>34</v>
      </c>
      <c r="J37" s="2">
        <v>8</v>
      </c>
      <c r="K37" s="2"/>
      <c r="L37" s="2"/>
      <c r="M37" s="2"/>
    </row>
    <row r="38" spans="1:13">
      <c r="A38" s="3"/>
      <c r="B38" s="2">
        <v>35</v>
      </c>
      <c r="C38" s="2" t="s">
        <v>546</v>
      </c>
      <c r="D38" s="2" t="s">
        <v>547</v>
      </c>
      <c r="E38" s="2" t="s">
        <v>548</v>
      </c>
      <c r="F38" s="2"/>
      <c r="G38" s="2" t="s">
        <v>546</v>
      </c>
      <c r="H38" s="2"/>
      <c r="I38" s="2">
        <v>35</v>
      </c>
      <c r="J38" s="2">
        <v>7.5</v>
      </c>
      <c r="K38" s="2"/>
      <c r="L38" s="2"/>
      <c r="M38" s="2"/>
    </row>
    <row r="39" spans="1:13">
      <c r="A39" s="3"/>
      <c r="B39" s="2">
        <v>36</v>
      </c>
      <c r="C39" s="2" t="s">
        <v>549</v>
      </c>
      <c r="D39" s="2" t="s">
        <v>550</v>
      </c>
      <c r="E39" s="2" t="s">
        <v>551</v>
      </c>
      <c r="F39" s="2"/>
      <c r="G39" s="2" t="s">
        <v>549</v>
      </c>
      <c r="H39" s="2"/>
      <c r="I39" s="2">
        <v>36</v>
      </c>
      <c r="J39" s="2">
        <v>7.5</v>
      </c>
      <c r="K39" s="2"/>
      <c r="L39" s="2"/>
      <c r="M39" s="2"/>
    </row>
    <row r="40" spans="1:13">
      <c r="A40" s="3"/>
      <c r="B40" s="2">
        <v>37</v>
      </c>
      <c r="C40" s="2" t="s">
        <v>552</v>
      </c>
      <c r="D40" s="2" t="s">
        <v>553</v>
      </c>
      <c r="E40" s="2" t="s">
        <v>554</v>
      </c>
      <c r="F40" s="2"/>
      <c r="G40" s="2" t="s">
        <v>552</v>
      </c>
      <c r="H40" s="2"/>
      <c r="I40" s="2">
        <v>37</v>
      </c>
      <c r="J40" s="2">
        <v>7.5</v>
      </c>
      <c r="K40" s="2"/>
      <c r="L40" s="2"/>
      <c r="M40" s="2"/>
    </row>
    <row r="41" spans="1:13">
      <c r="A41" s="3"/>
      <c r="B41" s="2">
        <v>38</v>
      </c>
      <c r="C41" s="2" t="s">
        <v>555</v>
      </c>
      <c r="D41" s="2" t="s">
        <v>556</v>
      </c>
      <c r="E41" s="2" t="s">
        <v>557</v>
      </c>
      <c r="F41" s="2"/>
      <c r="G41" s="2" t="s">
        <v>555</v>
      </c>
      <c r="H41" s="2"/>
      <c r="I41" s="2">
        <v>38</v>
      </c>
      <c r="J41" s="2">
        <v>8</v>
      </c>
      <c r="K41" s="2"/>
      <c r="L41" s="2"/>
      <c r="M41" s="2"/>
    </row>
    <row r="42" spans="1:13">
      <c r="A42" s="3"/>
      <c r="B42" s="2">
        <v>39</v>
      </c>
      <c r="C42" s="2" t="s">
        <v>558</v>
      </c>
      <c r="D42" s="2" t="s">
        <v>559</v>
      </c>
      <c r="E42" s="2" t="s">
        <v>560</v>
      </c>
      <c r="F42" s="2"/>
      <c r="G42" s="2" t="s">
        <v>558</v>
      </c>
      <c r="H42" s="2"/>
      <c r="I42" s="2">
        <v>39</v>
      </c>
      <c r="J42" s="2">
        <v>8</v>
      </c>
      <c r="K42" s="2"/>
      <c r="L42" s="2"/>
      <c r="M42" s="2"/>
    </row>
    <row r="43" spans="1:13">
      <c r="A43" s="3"/>
      <c r="B43" s="2">
        <v>40</v>
      </c>
      <c r="C43" s="2" t="s">
        <v>561</v>
      </c>
      <c r="D43" s="2" t="s">
        <v>562</v>
      </c>
      <c r="E43" s="2" t="s">
        <v>563</v>
      </c>
      <c r="F43" s="2"/>
      <c r="G43" s="2" t="s">
        <v>561</v>
      </c>
      <c r="H43" s="2"/>
      <c r="I43" s="2">
        <v>40</v>
      </c>
      <c r="J43" s="2">
        <v>1.7</v>
      </c>
      <c r="K43" s="2"/>
      <c r="L43" s="2"/>
      <c r="M43" s="2"/>
    </row>
    <row r="44" spans="1:13">
      <c r="A44" s="3"/>
      <c r="B44" s="2">
        <v>41</v>
      </c>
      <c r="C44" s="2" t="s">
        <v>564</v>
      </c>
      <c r="D44" s="2" t="s">
        <v>565</v>
      </c>
      <c r="E44" s="2" t="s">
        <v>566</v>
      </c>
      <c r="F44" s="2"/>
      <c r="G44" s="2" t="s">
        <v>564</v>
      </c>
      <c r="H44" s="2"/>
      <c r="I44" s="2">
        <v>41</v>
      </c>
      <c r="J44" s="2">
        <v>8</v>
      </c>
      <c r="K44" s="2"/>
      <c r="L44" s="2"/>
      <c r="M44" s="2"/>
    </row>
    <row r="45" spans="1:13">
      <c r="A45" s="3"/>
      <c r="B45" s="2">
        <v>42</v>
      </c>
      <c r="C45" s="2" t="s">
        <v>567</v>
      </c>
      <c r="D45" s="2" t="s">
        <v>568</v>
      </c>
      <c r="E45" s="2" t="s">
        <v>569</v>
      </c>
      <c r="F45" s="2"/>
      <c r="G45" s="2" t="s">
        <v>567</v>
      </c>
      <c r="H45" s="2"/>
      <c r="I45" s="2">
        <v>42</v>
      </c>
      <c r="J45" s="2">
        <v>8.5</v>
      </c>
      <c r="K45" s="2"/>
      <c r="L45" s="2"/>
      <c r="M45" s="2"/>
    </row>
    <row r="46" spans="1:13">
      <c r="A46" s="3"/>
      <c r="B46" s="2">
        <v>43</v>
      </c>
      <c r="C46" s="2" t="s">
        <v>570</v>
      </c>
      <c r="D46" s="2" t="s">
        <v>571</v>
      </c>
      <c r="E46" s="2" t="s">
        <v>572</v>
      </c>
      <c r="F46" s="2"/>
      <c r="G46" s="2" t="s">
        <v>570</v>
      </c>
      <c r="H46" s="2"/>
      <c r="I46" s="2">
        <v>43</v>
      </c>
      <c r="J46" s="2">
        <v>8.5</v>
      </c>
      <c r="K46" s="2"/>
      <c r="L46" s="2"/>
      <c r="M46" s="2"/>
    </row>
    <row r="47" spans="1:13">
      <c r="A47" s="3"/>
      <c r="B47" s="2">
        <v>44</v>
      </c>
      <c r="C47" s="2" t="s">
        <v>573</v>
      </c>
      <c r="D47" s="2" t="s">
        <v>574</v>
      </c>
      <c r="E47" s="2" t="s">
        <v>575</v>
      </c>
      <c r="F47" s="2"/>
      <c r="G47" s="2" t="s">
        <v>573</v>
      </c>
      <c r="H47" s="2"/>
      <c r="I47" s="2">
        <v>44</v>
      </c>
      <c r="J47" s="2">
        <v>8.5</v>
      </c>
      <c r="K47" s="2"/>
      <c r="L47" s="2"/>
      <c r="M47" s="2"/>
    </row>
    <row r="48" spans="1:13">
      <c r="A48" s="3"/>
      <c r="B48" s="2">
        <v>45</v>
      </c>
      <c r="C48" s="2" t="s">
        <v>576</v>
      </c>
      <c r="D48" s="2" t="s">
        <v>577</v>
      </c>
      <c r="E48" s="2" t="s">
        <v>578</v>
      </c>
      <c r="F48" s="2"/>
      <c r="G48" s="2" t="s">
        <v>576</v>
      </c>
      <c r="H48" s="2"/>
      <c r="I48" s="2">
        <v>45</v>
      </c>
      <c r="J48" s="2">
        <v>8</v>
      </c>
      <c r="K48" s="2"/>
      <c r="L48" s="2"/>
      <c r="M48" s="2"/>
    </row>
    <row r="49" spans="1:13">
      <c r="A49" s="3"/>
      <c r="B49" s="2">
        <v>46</v>
      </c>
      <c r="C49" s="2" t="s">
        <v>579</v>
      </c>
      <c r="D49" s="2" t="s">
        <v>580</v>
      </c>
      <c r="E49" s="2" t="s">
        <v>581</v>
      </c>
      <c r="F49" s="2"/>
      <c r="G49" s="2" t="s">
        <v>579</v>
      </c>
      <c r="H49" s="2"/>
      <c r="I49" s="2">
        <v>46</v>
      </c>
      <c r="J49" s="2">
        <v>8</v>
      </c>
      <c r="K49" s="2"/>
      <c r="L49" s="2"/>
      <c r="M49" s="2"/>
    </row>
    <row r="50" spans="1:13">
      <c r="A50" s="3"/>
      <c r="B50" s="2">
        <v>47</v>
      </c>
      <c r="C50" s="2" t="s">
        <v>582</v>
      </c>
      <c r="D50" s="2" t="s">
        <v>583</v>
      </c>
      <c r="E50" s="2" t="s">
        <v>584</v>
      </c>
      <c r="F50" s="2"/>
      <c r="G50" s="2" t="s">
        <v>582</v>
      </c>
      <c r="H50" s="2"/>
      <c r="I50" s="2">
        <v>47</v>
      </c>
      <c r="J50" s="2">
        <v>8</v>
      </c>
      <c r="K50" s="2"/>
      <c r="L50" s="2"/>
      <c r="M50" s="2"/>
    </row>
    <row r="51" spans="1:13">
      <c r="A51" s="3"/>
      <c r="B51" s="2">
        <v>48</v>
      </c>
      <c r="C51" s="2" t="s">
        <v>585</v>
      </c>
      <c r="D51" s="2" t="s">
        <v>586</v>
      </c>
      <c r="E51" s="2" t="s">
        <v>587</v>
      </c>
      <c r="F51" s="2"/>
      <c r="G51" s="2" t="s">
        <v>585</v>
      </c>
      <c r="H51" s="2"/>
      <c r="I51" s="2">
        <v>48</v>
      </c>
      <c r="J51" s="2">
        <v>5</v>
      </c>
      <c r="K51" s="2"/>
      <c r="L51" s="2"/>
      <c r="M51" s="2"/>
    </row>
    <row r="52" spans="1:13">
      <c r="A52" s="3"/>
      <c r="B52" s="2">
        <v>49</v>
      </c>
      <c r="C52" s="2" t="s">
        <v>588</v>
      </c>
      <c r="D52" s="2" t="s">
        <v>589</v>
      </c>
      <c r="E52" s="2"/>
      <c r="F52" s="2"/>
      <c r="G52" s="2"/>
      <c r="H52" s="2"/>
      <c r="I52" s="2">
        <v>49</v>
      </c>
      <c r="J52" s="2">
        <v>5</v>
      </c>
      <c r="K52" s="2"/>
      <c r="L52" s="2"/>
      <c r="M52" s="2"/>
    </row>
    <row r="53" spans="1:13">
      <c r="A53" s="3"/>
      <c r="B53" s="2">
        <v>50</v>
      </c>
      <c r="C53" s="2" t="s">
        <v>590</v>
      </c>
      <c r="D53" s="2" t="s">
        <v>591</v>
      </c>
      <c r="E53" s="2" t="s">
        <v>592</v>
      </c>
      <c r="F53" s="2"/>
      <c r="G53" s="2" t="s">
        <v>590</v>
      </c>
      <c r="H53" s="2"/>
      <c r="I53" s="2">
        <v>50</v>
      </c>
      <c r="J53" s="2">
        <v>1.5</v>
      </c>
      <c r="K53" s="2"/>
      <c r="L53" s="2"/>
      <c r="M53" s="2"/>
    </row>
    <row r="54" spans="1:13">
      <c r="A54" s="3"/>
      <c r="B54" s="2">
        <v>51</v>
      </c>
      <c r="C54" s="2" t="s">
        <v>593</v>
      </c>
      <c r="D54" s="2" t="s">
        <v>594</v>
      </c>
      <c r="E54" s="2" t="s">
        <v>595</v>
      </c>
      <c r="F54" s="2"/>
      <c r="G54" s="2" t="s">
        <v>593</v>
      </c>
      <c r="H54" s="2"/>
      <c r="I54" s="2">
        <v>51</v>
      </c>
      <c r="J54" s="2">
        <v>1.5</v>
      </c>
      <c r="K54" s="2"/>
      <c r="L54" s="2"/>
      <c r="M54" s="2"/>
    </row>
    <row r="55" spans="1:13">
      <c r="A55" s="3"/>
      <c r="B55" s="2">
        <v>52</v>
      </c>
      <c r="C55" s="2" t="s">
        <v>596</v>
      </c>
      <c r="D55" s="2" t="s">
        <v>597</v>
      </c>
      <c r="E55" s="2" t="s">
        <v>598</v>
      </c>
      <c r="F55" s="2"/>
      <c r="G55" s="2" t="s">
        <v>593</v>
      </c>
      <c r="H55" s="2"/>
      <c r="I55" s="2">
        <v>52</v>
      </c>
      <c r="J55" s="2">
        <v>3</v>
      </c>
      <c r="K55" s="2"/>
      <c r="L55" s="2"/>
      <c r="M55" s="2"/>
    </row>
    <row r="56" spans="1:13">
      <c r="A56" s="3"/>
      <c r="B56" s="2">
        <v>53</v>
      </c>
      <c r="C56" s="2" t="s">
        <v>599</v>
      </c>
      <c r="D56" s="2" t="s">
        <v>600</v>
      </c>
      <c r="E56" s="2" t="s">
        <v>601</v>
      </c>
      <c r="F56" s="2"/>
      <c r="G56" s="2" t="s">
        <v>599</v>
      </c>
      <c r="H56" s="2"/>
      <c r="I56" s="2">
        <v>53</v>
      </c>
      <c r="J56" s="2">
        <v>3.5</v>
      </c>
      <c r="K56" s="2"/>
      <c r="L56" s="2"/>
      <c r="M56" s="2"/>
    </row>
    <row r="57" spans="1:13">
      <c r="A57" s="3"/>
      <c r="B57" s="2">
        <v>54</v>
      </c>
      <c r="C57" s="2" t="s">
        <v>602</v>
      </c>
      <c r="D57" s="2" t="s">
        <v>603</v>
      </c>
      <c r="E57" s="2" t="s">
        <v>604</v>
      </c>
      <c r="F57" s="2"/>
      <c r="G57" s="2" t="s">
        <v>602</v>
      </c>
      <c r="H57" s="2"/>
      <c r="I57" s="2">
        <v>54</v>
      </c>
      <c r="J57" s="2">
        <v>3.5</v>
      </c>
      <c r="K57" s="2"/>
      <c r="L57" s="2"/>
      <c r="M57" s="2"/>
    </row>
    <row r="58" spans="1:13">
      <c r="A58" s="3"/>
      <c r="B58" s="2">
        <v>55</v>
      </c>
      <c r="C58" s="2" t="s">
        <v>605</v>
      </c>
      <c r="D58" s="2" t="s">
        <v>606</v>
      </c>
      <c r="E58" s="2" t="s">
        <v>607</v>
      </c>
      <c r="F58" s="2"/>
      <c r="G58" s="2" t="s">
        <v>605</v>
      </c>
      <c r="H58" s="2"/>
      <c r="I58" s="2">
        <v>55</v>
      </c>
      <c r="J58" s="2">
        <v>3.5</v>
      </c>
      <c r="K58" s="2"/>
      <c r="L58" s="2"/>
      <c r="M58" s="2"/>
    </row>
    <row r="59" spans="1:13">
      <c r="A59" s="3"/>
      <c r="B59" s="2">
        <v>56</v>
      </c>
      <c r="C59" s="2" t="s">
        <v>608</v>
      </c>
      <c r="D59" s="2" t="s">
        <v>609</v>
      </c>
      <c r="E59" s="2" t="s">
        <v>610</v>
      </c>
      <c r="F59" s="2"/>
      <c r="G59" s="2" t="s">
        <v>608</v>
      </c>
      <c r="H59" s="2"/>
      <c r="I59" s="2">
        <v>56</v>
      </c>
      <c r="J59" s="2">
        <v>4.5</v>
      </c>
      <c r="K59" s="2"/>
      <c r="L59" s="2"/>
      <c r="M59" s="2"/>
    </row>
    <row r="60" spans="1:13">
      <c r="A60" s="3"/>
      <c r="B60" s="2">
        <v>57</v>
      </c>
      <c r="C60" s="2" t="s">
        <v>611</v>
      </c>
      <c r="D60" s="2" t="s">
        <v>612</v>
      </c>
      <c r="E60" s="2" t="s">
        <v>613</v>
      </c>
      <c r="F60" s="2"/>
      <c r="G60" s="2" t="s">
        <v>611</v>
      </c>
      <c r="H60" s="2"/>
      <c r="I60" s="2">
        <v>57</v>
      </c>
      <c r="J60" s="2">
        <v>3.5</v>
      </c>
      <c r="K60" s="2"/>
      <c r="L60" s="2"/>
      <c r="M60" s="2"/>
    </row>
    <row r="61" spans="1:13">
      <c r="A61" s="3"/>
      <c r="B61" s="2">
        <v>58</v>
      </c>
      <c r="C61" s="2" t="s">
        <v>614</v>
      </c>
      <c r="D61" s="2" t="s">
        <v>614</v>
      </c>
      <c r="E61" s="2" t="s">
        <v>614</v>
      </c>
      <c r="F61" s="2"/>
      <c r="G61" s="2" t="s">
        <v>614</v>
      </c>
      <c r="H61" s="2"/>
      <c r="I61" s="2">
        <v>58</v>
      </c>
      <c r="J61" s="2">
        <v>3</v>
      </c>
      <c r="K61" s="2"/>
      <c r="L61" s="2"/>
      <c r="M61" s="2"/>
    </row>
    <row r="62" spans="1:13">
      <c r="A62" s="3"/>
      <c r="B62" s="2">
        <v>59</v>
      </c>
      <c r="C62" s="2" t="s">
        <v>615</v>
      </c>
      <c r="D62" s="2" t="s">
        <v>615</v>
      </c>
      <c r="E62" s="2" t="s">
        <v>615</v>
      </c>
      <c r="F62" s="2"/>
      <c r="G62" s="2" t="s">
        <v>615</v>
      </c>
      <c r="H62" s="2"/>
      <c r="I62" s="2">
        <v>59</v>
      </c>
      <c r="J62" s="2">
        <v>3</v>
      </c>
      <c r="K62" s="2"/>
      <c r="L62" s="2"/>
      <c r="M62" s="2"/>
    </row>
    <row r="63" spans="1:13">
      <c r="A63" s="3"/>
      <c r="B63" s="2">
        <v>60</v>
      </c>
      <c r="C63" s="2" t="s">
        <v>616</v>
      </c>
      <c r="D63" s="2" t="s">
        <v>616</v>
      </c>
      <c r="E63" s="2" t="s">
        <v>616</v>
      </c>
      <c r="F63" s="2"/>
      <c r="G63" s="2" t="s">
        <v>616</v>
      </c>
      <c r="H63" s="2"/>
      <c r="I63" s="2">
        <v>60</v>
      </c>
      <c r="J63" s="2">
        <v>3</v>
      </c>
      <c r="K63" s="2"/>
      <c r="L63" s="2"/>
      <c r="M63" s="2"/>
    </row>
    <row r="64" spans="1:13">
      <c r="A64" s="3"/>
      <c r="B64" s="2">
        <v>61</v>
      </c>
      <c r="C64" s="2" t="s">
        <v>617</v>
      </c>
      <c r="D64" s="2" t="s">
        <v>617</v>
      </c>
      <c r="E64" s="2" t="s">
        <v>617</v>
      </c>
      <c r="F64" s="2"/>
      <c r="G64" s="2" t="s">
        <v>617</v>
      </c>
      <c r="H64" s="2"/>
      <c r="I64" s="2">
        <v>61</v>
      </c>
      <c r="J64" s="2">
        <v>3</v>
      </c>
      <c r="K64" s="2"/>
      <c r="L64" s="2"/>
      <c r="M64" s="2"/>
    </row>
    <row r="65" spans="1:13">
      <c r="A65" s="3"/>
      <c r="B65" s="2">
        <v>62</v>
      </c>
      <c r="C65" s="2" t="s">
        <v>618</v>
      </c>
      <c r="D65" s="2" t="s">
        <v>618</v>
      </c>
      <c r="E65" s="2" t="s">
        <v>618</v>
      </c>
      <c r="F65" s="2"/>
      <c r="G65" s="2" t="s">
        <v>618</v>
      </c>
      <c r="H65" s="2"/>
      <c r="I65" s="2">
        <v>62</v>
      </c>
      <c r="J65" s="2">
        <v>3</v>
      </c>
      <c r="K65" s="2"/>
      <c r="L65" s="2"/>
      <c r="M65" s="2"/>
    </row>
    <row r="66" spans="1:13">
      <c r="A66" s="3"/>
      <c r="B66" s="2">
        <v>63</v>
      </c>
      <c r="C66" s="2" t="s">
        <v>619</v>
      </c>
      <c r="D66" s="2" t="s">
        <v>619</v>
      </c>
      <c r="E66" s="2" t="s">
        <v>619</v>
      </c>
      <c r="F66" s="2"/>
      <c r="G66" s="2" t="s">
        <v>619</v>
      </c>
      <c r="H66" s="2"/>
      <c r="I66" s="2">
        <v>63</v>
      </c>
      <c r="J66" s="2">
        <v>3</v>
      </c>
      <c r="K66" s="2"/>
      <c r="L66" s="2"/>
      <c r="M66" s="2"/>
    </row>
    <row r="67" spans="1:13">
      <c r="A67" s="3"/>
      <c r="B67" s="2">
        <v>64</v>
      </c>
      <c r="C67" s="2" t="s">
        <v>620</v>
      </c>
      <c r="D67" s="2" t="s">
        <v>620</v>
      </c>
      <c r="E67" s="2" t="s">
        <v>620</v>
      </c>
      <c r="F67" s="2"/>
      <c r="G67" s="2"/>
      <c r="H67" s="2"/>
      <c r="I67" s="2">
        <v>64</v>
      </c>
      <c r="J67" s="2">
        <v>4</v>
      </c>
      <c r="K67" s="2"/>
      <c r="L67" s="2"/>
      <c r="M67" s="2"/>
    </row>
    <row r="68" spans="1:13">
      <c r="A68" s="3"/>
      <c r="B68" s="2">
        <v>65</v>
      </c>
      <c r="C68" s="2" t="s">
        <v>621</v>
      </c>
      <c r="D68" s="2" t="s">
        <v>621</v>
      </c>
      <c r="E68" s="2" t="s">
        <v>621</v>
      </c>
      <c r="F68" s="2"/>
      <c r="G68" s="2"/>
      <c r="H68" s="2"/>
      <c r="I68" s="2">
        <v>65</v>
      </c>
      <c r="J68" s="2">
        <v>5</v>
      </c>
      <c r="K68" s="2"/>
      <c r="L68" s="2"/>
      <c r="M68" s="2"/>
    </row>
    <row r="69" spans="1:13">
      <c r="A69" s="3"/>
      <c r="B69" s="2">
        <v>66</v>
      </c>
      <c r="C69" s="2" t="s">
        <v>622</v>
      </c>
      <c r="D69" s="2" t="s">
        <v>622</v>
      </c>
      <c r="E69" s="2" t="s">
        <v>622</v>
      </c>
      <c r="F69" s="2"/>
      <c r="G69" s="2"/>
      <c r="H69" s="2"/>
      <c r="I69" s="2">
        <v>66</v>
      </c>
      <c r="J69" s="2">
        <v>5</v>
      </c>
      <c r="K69" s="2"/>
      <c r="L69" s="2"/>
      <c r="M69" s="2"/>
    </row>
    <row r="70" spans="1:13">
      <c r="A70" s="3"/>
      <c r="B70" s="2">
        <v>67</v>
      </c>
      <c r="C70" s="2" t="s">
        <v>623</v>
      </c>
      <c r="D70" s="2" t="s">
        <v>623</v>
      </c>
      <c r="E70" s="2" t="s">
        <v>623</v>
      </c>
      <c r="F70" s="2"/>
      <c r="G70" s="2"/>
      <c r="H70" s="2"/>
      <c r="I70" s="2">
        <v>67</v>
      </c>
      <c r="J70" s="2">
        <v>6</v>
      </c>
      <c r="K70" s="2"/>
      <c r="L70" s="2"/>
      <c r="M70" s="2"/>
    </row>
    <row r="71" spans="1:13">
      <c r="A71" s="3"/>
      <c r="B71" s="2">
        <v>68</v>
      </c>
      <c r="C71" s="2" t="s">
        <v>624</v>
      </c>
      <c r="D71" s="2" t="s">
        <v>624</v>
      </c>
      <c r="E71" s="2" t="s">
        <v>624</v>
      </c>
      <c r="F71" s="2"/>
      <c r="G71" s="2"/>
      <c r="H71" s="2"/>
      <c r="I71" s="2">
        <v>68</v>
      </c>
      <c r="J71" s="2">
        <v>6</v>
      </c>
      <c r="K71" s="2"/>
      <c r="L71" s="2"/>
      <c r="M71" s="2"/>
    </row>
    <row r="72" spans="1:13">
      <c r="A72" s="3"/>
      <c r="B72" s="2">
        <v>69</v>
      </c>
      <c r="C72" s="2" t="s">
        <v>625</v>
      </c>
      <c r="D72" s="2" t="s">
        <v>625</v>
      </c>
      <c r="E72" s="2" t="s">
        <v>625</v>
      </c>
      <c r="F72" s="2"/>
      <c r="G72" s="2"/>
      <c r="H72" s="2"/>
      <c r="I72" s="2">
        <v>69</v>
      </c>
      <c r="J72" s="2">
        <v>6</v>
      </c>
      <c r="K72" s="2"/>
      <c r="L72" s="2"/>
      <c r="M72" s="2"/>
    </row>
    <row r="73" spans="1:13">
      <c r="A73" s="3"/>
      <c r="B73" s="2">
        <v>70</v>
      </c>
      <c r="C73" s="2" t="s">
        <v>626</v>
      </c>
      <c r="D73" s="2" t="s">
        <v>626</v>
      </c>
      <c r="E73" s="2" t="s">
        <v>626</v>
      </c>
      <c r="F73" s="2"/>
      <c r="G73" s="2"/>
      <c r="H73" s="2"/>
      <c r="I73" s="2">
        <v>70</v>
      </c>
      <c r="J73" s="2">
        <v>6</v>
      </c>
      <c r="K73" s="2"/>
      <c r="L73" s="2"/>
      <c r="M73" s="2"/>
    </row>
    <row r="74" spans="1:13">
      <c r="A74" s="3"/>
      <c r="B74" s="2">
        <v>71</v>
      </c>
      <c r="C74" s="2" t="s">
        <v>627</v>
      </c>
      <c r="D74" s="2" t="s">
        <v>627</v>
      </c>
      <c r="E74" s="2" t="s">
        <v>627</v>
      </c>
      <c r="F74" s="2"/>
      <c r="G74" s="2"/>
      <c r="H74" s="2"/>
      <c r="I74" s="2">
        <v>71</v>
      </c>
      <c r="J74" s="2">
        <v>3.5</v>
      </c>
      <c r="K74" s="2"/>
      <c r="L74" s="2"/>
      <c r="M74" s="2"/>
    </row>
    <row r="75" spans="1:13">
      <c r="A75" s="3"/>
      <c r="B75" s="2">
        <v>72</v>
      </c>
      <c r="C75" s="2" t="s">
        <v>628</v>
      </c>
      <c r="D75" s="2" t="s">
        <v>628</v>
      </c>
      <c r="E75" s="2" t="s">
        <v>628</v>
      </c>
      <c r="F75" s="2"/>
      <c r="G75" s="2"/>
      <c r="H75" s="2"/>
      <c r="I75" s="2">
        <v>72</v>
      </c>
      <c r="J75" s="2">
        <v>3.5</v>
      </c>
      <c r="K75" s="2"/>
      <c r="L75" s="2"/>
      <c r="M75" s="2"/>
    </row>
    <row r="76" spans="1:13">
      <c r="A76" s="3"/>
      <c r="B76" s="2">
        <v>73</v>
      </c>
      <c r="C76" s="2" t="s">
        <v>629</v>
      </c>
      <c r="D76" s="2" t="s">
        <v>629</v>
      </c>
      <c r="E76" s="2" t="s">
        <v>629</v>
      </c>
      <c r="F76" s="2"/>
      <c r="G76" s="2"/>
      <c r="H76" s="2"/>
      <c r="I76" s="2">
        <v>73</v>
      </c>
      <c r="J76" s="2">
        <v>17</v>
      </c>
      <c r="K76" s="2"/>
      <c r="L76" s="2"/>
      <c r="M76" s="2"/>
    </row>
    <row r="77" spans="1:13">
      <c r="A77" s="3"/>
      <c r="B77" s="2">
        <v>74</v>
      </c>
      <c r="C77" s="2" t="s">
        <v>630</v>
      </c>
      <c r="D77" s="2" t="s">
        <v>630</v>
      </c>
      <c r="E77" s="2" t="s">
        <v>630</v>
      </c>
      <c r="F77" s="2"/>
      <c r="G77" s="2"/>
      <c r="H77" s="2"/>
      <c r="I77" s="2">
        <v>74</v>
      </c>
      <c r="J77" s="2">
        <v>12</v>
      </c>
      <c r="K77" s="2"/>
      <c r="L77" s="2"/>
      <c r="M77" s="2"/>
    </row>
    <row r="78" spans="1:13">
      <c r="A78" s="3"/>
      <c r="B78" s="2">
        <v>75</v>
      </c>
      <c r="C78" s="2" t="s">
        <v>631</v>
      </c>
      <c r="D78" s="2" t="s">
        <v>631</v>
      </c>
      <c r="E78" s="2" t="s">
        <v>631</v>
      </c>
      <c r="F78" s="2"/>
      <c r="G78" s="2"/>
      <c r="H78" s="2"/>
      <c r="I78" s="2">
        <v>75</v>
      </c>
      <c r="J78" s="2">
        <v>17</v>
      </c>
      <c r="K78" s="2"/>
      <c r="L78" s="2"/>
      <c r="M78" s="2"/>
    </row>
    <row r="79" spans="1:13">
      <c r="A79" s="3"/>
      <c r="B79" s="2">
        <v>76</v>
      </c>
      <c r="C79" s="2" t="s">
        <v>632</v>
      </c>
      <c r="D79" s="2" t="s">
        <v>632</v>
      </c>
      <c r="E79" s="2" t="s">
        <v>632</v>
      </c>
      <c r="F79" s="2"/>
      <c r="G79" s="2"/>
      <c r="H79" s="2"/>
      <c r="I79" s="2">
        <v>76</v>
      </c>
      <c r="J79" s="2">
        <v>12</v>
      </c>
      <c r="K79" s="2"/>
      <c r="L79" s="2"/>
      <c r="M79" s="2"/>
    </row>
    <row r="80" spans="1:13">
      <c r="A80" s="3"/>
      <c r="B80" s="2">
        <v>77</v>
      </c>
      <c r="C80" s="2" t="s">
        <v>633</v>
      </c>
      <c r="D80" s="2" t="s">
        <v>633</v>
      </c>
      <c r="E80" s="2" t="s">
        <v>633</v>
      </c>
      <c r="F80" s="2"/>
      <c r="G80" s="2"/>
      <c r="H80" s="2"/>
      <c r="I80" s="2">
        <v>77</v>
      </c>
      <c r="J80" s="2">
        <v>17</v>
      </c>
      <c r="K80" s="2"/>
      <c r="L80" s="2"/>
      <c r="M80" s="2"/>
    </row>
    <row r="81" spans="1:13">
      <c r="A81" s="3"/>
      <c r="B81" s="2">
        <v>78</v>
      </c>
      <c r="C81" s="2" t="s">
        <v>634</v>
      </c>
      <c r="D81" s="2" t="s">
        <v>634</v>
      </c>
      <c r="E81" s="2" t="s">
        <v>634</v>
      </c>
      <c r="F81" s="2"/>
      <c r="G81" s="2"/>
      <c r="H81" s="2"/>
      <c r="I81" s="2">
        <v>78</v>
      </c>
      <c r="J81" s="2">
        <v>12</v>
      </c>
      <c r="K81" s="2"/>
      <c r="L81" s="2"/>
      <c r="M81" s="2"/>
    </row>
    <row r="82" spans="1:13">
      <c r="A82" s="3"/>
      <c r="B82" s="2">
        <v>79</v>
      </c>
      <c r="C82" s="2" t="s">
        <v>635</v>
      </c>
      <c r="D82" s="2" t="s">
        <v>635</v>
      </c>
      <c r="E82" s="2" t="s">
        <v>635</v>
      </c>
      <c r="F82" s="2"/>
      <c r="G82" s="2"/>
      <c r="H82" s="2"/>
      <c r="I82" s="2">
        <v>79</v>
      </c>
      <c r="J82" s="2">
        <v>20</v>
      </c>
      <c r="K82" s="2"/>
      <c r="L82" s="2"/>
      <c r="M82" s="2"/>
    </row>
    <row r="83" spans="1:13">
      <c r="A83" s="3"/>
      <c r="B83" s="2">
        <v>80</v>
      </c>
      <c r="C83" s="2" t="s">
        <v>636</v>
      </c>
      <c r="D83" s="2" t="s">
        <v>636</v>
      </c>
      <c r="E83" s="2" t="s">
        <v>636</v>
      </c>
      <c r="F83" s="2"/>
      <c r="G83" s="2"/>
      <c r="H83" s="2"/>
      <c r="I83" s="2">
        <v>80</v>
      </c>
      <c r="J83" s="2">
        <v>30</v>
      </c>
      <c r="K83" s="2"/>
      <c r="L83" s="2"/>
      <c r="M83" s="2"/>
    </row>
    <row r="84" spans="1:13">
      <c r="A84" s="3"/>
      <c r="B84" s="2">
        <v>81</v>
      </c>
      <c r="C84" s="2" t="s">
        <v>637</v>
      </c>
      <c r="D84" s="2" t="s">
        <v>637</v>
      </c>
      <c r="E84" s="2" t="s">
        <v>637</v>
      </c>
      <c r="F84" s="2"/>
      <c r="G84" s="2"/>
      <c r="H84" s="2"/>
      <c r="I84" s="2">
        <v>81</v>
      </c>
      <c r="J84" s="2">
        <v>15</v>
      </c>
      <c r="K84" s="2"/>
      <c r="L84" s="2"/>
      <c r="M84" s="2"/>
    </row>
    <row r="85" spans="1:13">
      <c r="A85" s="3"/>
      <c r="B85" s="2">
        <v>82</v>
      </c>
      <c r="C85" s="2" t="s">
        <v>638</v>
      </c>
      <c r="D85" s="2" t="s">
        <v>638</v>
      </c>
      <c r="E85" s="2" t="s">
        <v>638</v>
      </c>
      <c r="F85" s="2"/>
      <c r="G85" s="2"/>
      <c r="H85" s="2"/>
      <c r="I85" s="2">
        <v>82</v>
      </c>
      <c r="J85" s="2">
        <v>10</v>
      </c>
      <c r="K85" s="2"/>
      <c r="L85" s="2"/>
      <c r="M85" s="2"/>
    </row>
    <row r="86" spans="1:13">
      <c r="A86" s="3"/>
      <c r="B86" s="2">
        <v>83</v>
      </c>
      <c r="C86" s="2" t="s">
        <v>639</v>
      </c>
      <c r="D86" s="2" t="s">
        <v>639</v>
      </c>
      <c r="E86" s="2" t="s">
        <v>639</v>
      </c>
      <c r="F86" s="2"/>
      <c r="G86" s="2"/>
      <c r="H86" s="2"/>
      <c r="I86" s="2">
        <v>83</v>
      </c>
      <c r="J86" s="2">
        <v>20</v>
      </c>
      <c r="K86" s="2"/>
      <c r="L86" s="2"/>
      <c r="M86" s="2"/>
    </row>
    <row r="87" spans="1:13">
      <c r="A87" s="3"/>
      <c r="B87" s="2">
        <v>84</v>
      </c>
      <c r="C87" s="2" t="s">
        <v>640</v>
      </c>
      <c r="D87" s="2" t="s">
        <v>640</v>
      </c>
      <c r="E87" s="2" t="s">
        <v>640</v>
      </c>
      <c r="F87" s="2"/>
      <c r="G87" s="2"/>
      <c r="H87" s="2"/>
      <c r="I87" s="2">
        <v>84</v>
      </c>
      <c r="J87" s="2">
        <v>15</v>
      </c>
      <c r="K87" s="2"/>
      <c r="L87" s="2"/>
      <c r="M87" s="2"/>
    </row>
    <row r="88" spans="1:13">
      <c r="A88" s="3"/>
      <c r="B88" s="2">
        <v>85</v>
      </c>
      <c r="C88" s="2" t="s">
        <v>641</v>
      </c>
      <c r="D88" s="2" t="s">
        <v>641</v>
      </c>
      <c r="E88" s="2" t="s">
        <v>642</v>
      </c>
      <c r="F88" s="2"/>
      <c r="G88" s="2"/>
      <c r="H88" s="2"/>
      <c r="I88" s="2">
        <v>85</v>
      </c>
      <c r="J88" s="2">
        <v>1.5</v>
      </c>
      <c r="K88" s="2"/>
      <c r="L88" s="2"/>
      <c r="M88" s="2"/>
    </row>
    <row r="89" spans="1:13">
      <c r="A89" s="3"/>
      <c r="B89" s="2">
        <v>86</v>
      </c>
      <c r="C89" s="2" t="s">
        <v>643</v>
      </c>
      <c r="D89" s="2" t="s">
        <v>644</v>
      </c>
      <c r="E89" s="2" t="s">
        <v>645</v>
      </c>
      <c r="F89" s="2"/>
      <c r="G89" s="2"/>
      <c r="H89" s="2"/>
      <c r="I89" s="2">
        <v>86</v>
      </c>
      <c r="J89" s="2">
        <v>1.5</v>
      </c>
      <c r="K89" s="2"/>
      <c r="L89" s="2"/>
      <c r="M89" s="2"/>
    </row>
    <row r="90" spans="1:13">
      <c r="A90" s="3"/>
      <c r="B90" s="2">
        <v>87</v>
      </c>
      <c r="C90" s="2" t="s">
        <v>646</v>
      </c>
      <c r="D90" s="2" t="s">
        <v>646</v>
      </c>
      <c r="E90" s="2" t="s">
        <v>647</v>
      </c>
      <c r="F90" s="2"/>
      <c r="G90" s="2"/>
      <c r="H90" s="2"/>
      <c r="I90" s="2">
        <v>87</v>
      </c>
      <c r="J90" s="2">
        <v>1.5</v>
      </c>
      <c r="K90" s="2"/>
      <c r="L90" s="2"/>
      <c r="M90" s="2"/>
    </row>
    <row r="91" spans="1:13">
      <c r="A91" s="3"/>
      <c r="B91" s="2">
        <v>88</v>
      </c>
      <c r="C91" s="2" t="s">
        <v>648</v>
      </c>
      <c r="D91" s="2" t="s">
        <v>648</v>
      </c>
      <c r="E91" s="2" t="s">
        <v>649</v>
      </c>
      <c r="F91" s="2"/>
      <c r="G91" s="2"/>
      <c r="H91" s="2"/>
      <c r="I91" s="2">
        <v>88</v>
      </c>
      <c r="J91" s="2">
        <v>4</v>
      </c>
      <c r="K91" s="2"/>
      <c r="L91" s="2"/>
      <c r="M91" s="2"/>
    </row>
    <row r="92" spans="1:13">
      <c r="A92" s="3"/>
      <c r="B92" s="2">
        <v>89</v>
      </c>
      <c r="C92" s="2" t="s">
        <v>650</v>
      </c>
      <c r="D92" s="2" t="s">
        <v>651</v>
      </c>
      <c r="E92" s="2" t="s">
        <v>652</v>
      </c>
      <c r="F92" s="2"/>
      <c r="G92" s="2"/>
      <c r="H92" s="2"/>
      <c r="I92" s="2">
        <v>89</v>
      </c>
      <c r="J92" s="2">
        <v>4</v>
      </c>
      <c r="K92" s="2"/>
      <c r="L92" s="2"/>
      <c r="M92" s="2"/>
    </row>
    <row r="93" spans="1:13">
      <c r="A93" s="3"/>
      <c r="B93" s="2">
        <v>90</v>
      </c>
      <c r="C93" s="2" t="s">
        <v>653</v>
      </c>
      <c r="D93" s="2" t="s">
        <v>653</v>
      </c>
      <c r="E93" s="2" t="s">
        <v>654</v>
      </c>
      <c r="F93" s="2"/>
      <c r="G93" s="2"/>
      <c r="H93" s="2"/>
      <c r="I93" s="2">
        <v>90</v>
      </c>
      <c r="J93" s="2">
        <v>4</v>
      </c>
      <c r="K93" s="2"/>
      <c r="L93" s="2"/>
      <c r="M93" s="2"/>
    </row>
    <row r="94" spans="1:13">
      <c r="A94" s="3"/>
      <c r="B94" s="2">
        <v>91</v>
      </c>
      <c r="C94" s="2" t="s">
        <v>655</v>
      </c>
      <c r="D94" s="2" t="s">
        <v>656</v>
      </c>
      <c r="E94" s="2" t="s">
        <v>657</v>
      </c>
      <c r="F94" s="2"/>
      <c r="G94" s="2"/>
      <c r="H94" s="2"/>
      <c r="I94" s="2">
        <v>91</v>
      </c>
      <c r="J94" s="2">
        <v>3.5</v>
      </c>
      <c r="K94" s="2"/>
      <c r="L94" s="2"/>
      <c r="M94" s="2"/>
    </row>
    <row r="95" spans="1:13">
      <c r="A95" s="3"/>
      <c r="B95" s="2">
        <v>92</v>
      </c>
      <c r="C95" s="2" t="s">
        <v>658</v>
      </c>
      <c r="D95" s="2" t="s">
        <v>659</v>
      </c>
      <c r="E95" s="2" t="s">
        <v>660</v>
      </c>
      <c r="F95" s="2"/>
      <c r="G95" s="2" t="s">
        <v>658</v>
      </c>
      <c r="H95" s="2"/>
      <c r="I95" s="2">
        <v>92</v>
      </c>
      <c r="J95" s="2">
        <v>3.5</v>
      </c>
      <c r="K95" s="2"/>
      <c r="L95" s="2"/>
      <c r="M95" s="2"/>
    </row>
    <row r="96" spans="1:13">
      <c r="A96" s="3"/>
      <c r="B96" s="2">
        <v>93</v>
      </c>
      <c r="C96" s="2" t="s">
        <v>661</v>
      </c>
      <c r="D96" s="2" t="s">
        <v>662</v>
      </c>
      <c r="E96" s="2" t="s">
        <v>663</v>
      </c>
      <c r="F96" s="2"/>
      <c r="G96" s="2" t="s">
        <v>661</v>
      </c>
      <c r="H96" s="2"/>
      <c r="I96" s="2">
        <v>93</v>
      </c>
      <c r="J96" s="2">
        <v>3.5</v>
      </c>
      <c r="K96" s="2"/>
      <c r="L96" s="2"/>
      <c r="M96" s="2"/>
    </row>
    <row r="97" spans="1:13">
      <c r="A97" s="3"/>
      <c r="B97" s="2">
        <v>94</v>
      </c>
      <c r="C97" s="2" t="s">
        <v>664</v>
      </c>
      <c r="D97" s="2" t="s">
        <v>665</v>
      </c>
      <c r="E97" s="2" t="s">
        <v>666</v>
      </c>
      <c r="F97" s="2"/>
      <c r="G97" s="2" t="s">
        <v>664</v>
      </c>
      <c r="H97" s="2"/>
      <c r="I97" s="2">
        <v>94</v>
      </c>
      <c r="J97" s="2">
        <v>3.5</v>
      </c>
      <c r="K97" s="2"/>
      <c r="L97" s="2"/>
      <c r="M97" s="2"/>
    </row>
    <row r="98" spans="1:13">
      <c r="A98" s="3"/>
      <c r="B98" s="2">
        <v>95</v>
      </c>
      <c r="C98" s="2" t="s">
        <v>667</v>
      </c>
      <c r="D98" s="2" t="s">
        <v>668</v>
      </c>
      <c r="E98" s="2" t="s">
        <v>669</v>
      </c>
      <c r="F98" s="2"/>
      <c r="G98" s="2" t="s">
        <v>667</v>
      </c>
      <c r="H98" s="2"/>
      <c r="I98" s="2">
        <v>95</v>
      </c>
      <c r="J98" s="2">
        <v>3.5</v>
      </c>
      <c r="K98" s="2"/>
      <c r="L98" s="2"/>
      <c r="M98" s="2"/>
    </row>
    <row r="99" spans="1:13">
      <c r="A99" s="3"/>
      <c r="B99" s="2">
        <v>96</v>
      </c>
      <c r="C99" s="2" t="s">
        <v>670</v>
      </c>
      <c r="D99" s="2" t="s">
        <v>671</v>
      </c>
      <c r="E99" s="2" t="s">
        <v>672</v>
      </c>
      <c r="F99" s="2"/>
      <c r="G99" s="2" t="s">
        <v>670</v>
      </c>
      <c r="H99" s="2"/>
      <c r="I99" s="2">
        <v>96</v>
      </c>
      <c r="J99" s="2">
        <v>3.5</v>
      </c>
      <c r="K99" s="2"/>
      <c r="L99" s="2"/>
      <c r="M99" s="2"/>
    </row>
    <row r="100" spans="1:13">
      <c r="A100" s="3"/>
      <c r="B100" s="2">
        <v>97</v>
      </c>
      <c r="C100" s="2" t="s">
        <v>673</v>
      </c>
      <c r="D100" s="2" t="s">
        <v>674</v>
      </c>
      <c r="E100" s="2" t="s">
        <v>675</v>
      </c>
      <c r="F100" s="2"/>
      <c r="G100" s="2" t="s">
        <v>673</v>
      </c>
      <c r="H100" s="2"/>
      <c r="I100" s="2">
        <v>97</v>
      </c>
      <c r="J100" s="2">
        <v>3.5</v>
      </c>
      <c r="K100" s="2"/>
      <c r="L100" s="2"/>
      <c r="M100" s="2"/>
    </row>
    <row r="101" spans="1:13">
      <c r="A101" s="3"/>
      <c r="B101" s="2">
        <v>98</v>
      </c>
      <c r="C101" s="2" t="s">
        <v>676</v>
      </c>
      <c r="D101" s="2" t="s">
        <v>677</v>
      </c>
      <c r="E101" s="2" t="s">
        <v>678</v>
      </c>
      <c r="F101" s="2"/>
      <c r="G101" s="2" t="s">
        <v>676</v>
      </c>
      <c r="H101" s="2"/>
      <c r="I101" s="2">
        <v>98</v>
      </c>
      <c r="J101" s="2">
        <v>3.5</v>
      </c>
      <c r="K101" s="2"/>
      <c r="L101" s="2"/>
      <c r="M101" s="2"/>
    </row>
    <row r="102" spans="1:13">
      <c r="A102" s="3"/>
      <c r="B102" s="2">
        <v>99</v>
      </c>
      <c r="C102" s="2" t="s">
        <v>679</v>
      </c>
      <c r="D102" s="2" t="s">
        <v>680</v>
      </c>
      <c r="E102" s="2" t="s">
        <v>681</v>
      </c>
      <c r="F102" s="2"/>
      <c r="G102" s="2" t="s">
        <v>679</v>
      </c>
      <c r="H102" s="2"/>
      <c r="I102" s="2">
        <v>99</v>
      </c>
      <c r="J102" s="2">
        <v>3.5</v>
      </c>
      <c r="K102" s="2"/>
      <c r="L102" s="2"/>
      <c r="M102" s="2"/>
    </row>
    <row r="103" spans="1:13">
      <c r="A103" s="3"/>
      <c r="B103" s="2">
        <v>100</v>
      </c>
      <c r="C103" s="2" t="s">
        <v>682</v>
      </c>
      <c r="D103" s="2" t="s">
        <v>683</v>
      </c>
      <c r="E103" s="2" t="s">
        <v>684</v>
      </c>
      <c r="F103" s="2"/>
      <c r="G103" s="2" t="s">
        <v>682</v>
      </c>
      <c r="H103" s="2"/>
      <c r="I103" s="2">
        <v>100</v>
      </c>
      <c r="J103" s="2">
        <v>3.5</v>
      </c>
      <c r="K103" s="2"/>
      <c r="L103" s="2"/>
      <c r="M103" s="2"/>
    </row>
    <row r="104" spans="1:13">
      <c r="A104" s="3"/>
      <c r="B104" s="2">
        <v>101</v>
      </c>
      <c r="C104" s="2" t="s">
        <v>685</v>
      </c>
      <c r="D104" s="2" t="s">
        <v>686</v>
      </c>
      <c r="E104" s="2" t="s">
        <v>687</v>
      </c>
      <c r="F104" s="2"/>
      <c r="G104" s="2" t="s">
        <v>685</v>
      </c>
      <c r="H104" s="2"/>
      <c r="I104" s="2">
        <v>101</v>
      </c>
      <c r="J104" s="2">
        <v>3.5</v>
      </c>
      <c r="K104" s="2"/>
      <c r="L104" s="2"/>
      <c r="M104" s="2"/>
    </row>
    <row r="105" spans="1:13">
      <c r="A105" s="3"/>
      <c r="B105" s="2">
        <v>102</v>
      </c>
      <c r="C105" s="2" t="s">
        <v>688</v>
      </c>
      <c r="D105" s="2" t="s">
        <v>689</v>
      </c>
      <c r="E105" s="2" t="s">
        <v>690</v>
      </c>
      <c r="F105" s="2"/>
      <c r="G105" s="2" t="s">
        <v>688</v>
      </c>
      <c r="H105" s="2"/>
      <c r="I105" s="2">
        <v>102</v>
      </c>
      <c r="J105" s="2">
        <v>3.5</v>
      </c>
      <c r="K105" s="2"/>
      <c r="L105" s="2"/>
      <c r="M105" s="2"/>
    </row>
    <row r="106" spans="1:13">
      <c r="A106" s="3"/>
      <c r="B106" s="2">
        <v>103</v>
      </c>
      <c r="C106" s="2" t="s">
        <v>691</v>
      </c>
      <c r="D106" s="2" t="s">
        <v>692</v>
      </c>
      <c r="E106" s="2" t="s">
        <v>693</v>
      </c>
      <c r="F106" s="2"/>
      <c r="G106" s="2" t="s">
        <v>691</v>
      </c>
      <c r="H106" s="2"/>
      <c r="I106" s="2">
        <v>103</v>
      </c>
      <c r="J106" s="2">
        <v>3.5</v>
      </c>
      <c r="K106" s="2"/>
      <c r="L106" s="2"/>
      <c r="M106" s="2"/>
    </row>
    <row r="107" spans="1:13">
      <c r="A107" s="3"/>
      <c r="B107" s="2">
        <v>104</v>
      </c>
      <c r="C107" s="2" t="s">
        <v>694</v>
      </c>
      <c r="D107" s="2" t="s">
        <v>695</v>
      </c>
      <c r="E107" s="2" t="s">
        <v>695</v>
      </c>
      <c r="F107" s="2"/>
      <c r="G107" s="2" t="s">
        <v>694</v>
      </c>
      <c r="H107" s="2"/>
      <c r="I107" s="2">
        <v>104</v>
      </c>
      <c r="J107" s="2">
        <v>1.5</v>
      </c>
      <c r="K107" s="2"/>
      <c r="L107" s="2"/>
      <c r="M107" s="2"/>
    </row>
    <row r="108" spans="1:13">
      <c r="A108" s="3"/>
      <c r="B108" s="2">
        <v>105</v>
      </c>
      <c r="C108" s="2" t="s">
        <v>696</v>
      </c>
      <c r="D108" s="2" t="s">
        <v>697</v>
      </c>
      <c r="E108" s="2" t="s">
        <v>698</v>
      </c>
      <c r="F108" s="2"/>
      <c r="G108" s="2" t="s">
        <v>696</v>
      </c>
      <c r="H108" s="2"/>
      <c r="I108" s="2">
        <v>105</v>
      </c>
      <c r="J108" s="2">
        <v>3.5</v>
      </c>
      <c r="K108" s="2"/>
      <c r="L108" s="2"/>
      <c r="M108" s="2"/>
    </row>
    <row r="109" spans="1:13">
      <c r="A109" s="3"/>
      <c r="B109" s="2">
        <v>106</v>
      </c>
      <c r="C109" s="2" t="s">
        <v>699</v>
      </c>
      <c r="D109" s="2" t="s">
        <v>700</v>
      </c>
      <c r="E109" s="2" t="s">
        <v>701</v>
      </c>
      <c r="F109" s="2"/>
      <c r="G109" s="2" t="s">
        <v>699</v>
      </c>
      <c r="H109" s="2"/>
      <c r="I109" s="2">
        <v>106</v>
      </c>
      <c r="J109" s="2">
        <v>3.5</v>
      </c>
      <c r="K109" s="2"/>
      <c r="L109" s="2"/>
      <c r="M109" s="2"/>
    </row>
    <row r="110" spans="1:13">
      <c r="A110" s="3"/>
      <c r="B110" s="2">
        <v>107</v>
      </c>
      <c r="C110" s="2" t="s">
        <v>702</v>
      </c>
      <c r="D110" s="2" t="s">
        <v>703</v>
      </c>
      <c r="E110" s="2" t="s">
        <v>704</v>
      </c>
      <c r="F110" s="2"/>
      <c r="G110" s="2" t="s">
        <v>702</v>
      </c>
      <c r="H110" s="2"/>
      <c r="I110" s="2">
        <v>107</v>
      </c>
      <c r="J110" s="2">
        <v>3.5</v>
      </c>
      <c r="K110" s="2"/>
      <c r="L110" s="2"/>
      <c r="M110" s="2"/>
    </row>
    <row r="111" spans="1:13">
      <c r="A111" s="3"/>
      <c r="B111" s="2">
        <v>108</v>
      </c>
      <c r="C111" s="2"/>
      <c r="D111" s="2"/>
      <c r="E111" s="2"/>
      <c r="F111" s="2"/>
      <c r="G111" s="2"/>
      <c r="H111" s="2"/>
      <c r="I111" s="2"/>
      <c r="J111" s="2"/>
      <c r="K111" s="2"/>
      <c r="L111" s="2"/>
      <c r="M111" s="2"/>
    </row>
    <row r="112" spans="1:13">
      <c r="A112" s="3"/>
      <c r="B112" s="2">
        <v>109</v>
      </c>
      <c r="C112" s="2"/>
      <c r="D112" s="2"/>
      <c r="E112" s="2"/>
      <c r="F112" s="2"/>
      <c r="G112" s="2"/>
      <c r="H112" s="2"/>
      <c r="I112" s="2"/>
      <c r="J112" s="2"/>
      <c r="K112" s="2"/>
      <c r="L112" s="2"/>
      <c r="M112" s="2"/>
    </row>
    <row r="113" spans="1:13">
      <c r="A113" s="3"/>
      <c r="B113" s="2">
        <v>110</v>
      </c>
      <c r="C113" s="2"/>
      <c r="D113" s="2"/>
      <c r="E113" s="2"/>
      <c r="F113" s="2"/>
      <c r="G113" s="2"/>
      <c r="H113" s="2"/>
      <c r="I113" s="2"/>
      <c r="J113" s="2"/>
      <c r="K113" s="2"/>
      <c r="L113" s="2"/>
      <c r="M113" s="2"/>
    </row>
    <row r="114" spans="1:13">
      <c r="A114" s="3"/>
      <c r="B114" s="2">
        <v>111</v>
      </c>
      <c r="C114" s="2"/>
      <c r="D114" s="2"/>
      <c r="E114" s="2"/>
      <c r="F114" s="2"/>
      <c r="G114" s="2"/>
      <c r="H114" s="2"/>
      <c r="I114" s="2"/>
      <c r="J114" s="2"/>
      <c r="K114" s="2"/>
      <c r="L114" s="2"/>
      <c r="M114" s="2"/>
    </row>
    <row r="115" spans="1:13">
      <c r="A115" s="3"/>
      <c r="B115" s="2">
        <v>112</v>
      </c>
      <c r="C115" s="2"/>
      <c r="D115" s="2"/>
      <c r="E115" s="2"/>
      <c r="F115" s="2"/>
      <c r="G115" s="2"/>
      <c r="H115" s="2"/>
      <c r="I115" s="2"/>
      <c r="J115" s="2"/>
      <c r="K115" s="2"/>
      <c r="L115" s="2"/>
      <c r="M115" s="2"/>
    </row>
    <row r="116" spans="1:13">
      <c r="A116" s="3"/>
      <c r="B116" s="2">
        <v>113</v>
      </c>
      <c r="C116" s="2"/>
      <c r="D116" s="2"/>
      <c r="E116" s="2"/>
      <c r="F116" s="2"/>
      <c r="G116" s="2"/>
      <c r="H116" s="2"/>
      <c r="I116" s="2"/>
      <c r="J116" s="2"/>
      <c r="K116" s="2"/>
      <c r="L116" s="2"/>
      <c r="M116" s="2"/>
    </row>
    <row r="117" spans="1:13">
      <c r="A117" s="3"/>
      <c r="B117" s="2">
        <v>114</v>
      </c>
      <c r="C117" s="2"/>
      <c r="D117" s="2"/>
      <c r="E117" s="2"/>
      <c r="F117" s="2"/>
      <c r="G117" s="2"/>
      <c r="H117" s="2"/>
      <c r="I117" s="2"/>
      <c r="J117" s="2"/>
      <c r="K117" s="2"/>
      <c r="L117" s="2"/>
      <c r="M117" s="2"/>
    </row>
    <row r="118" spans="1:13">
      <c r="A118" s="3"/>
      <c r="B118" s="2">
        <v>115</v>
      </c>
      <c r="C118" s="2"/>
      <c r="D118" s="2"/>
      <c r="E118" s="2"/>
      <c r="F118" s="2"/>
      <c r="G118" s="2"/>
      <c r="H118" s="2"/>
      <c r="I118" s="2"/>
      <c r="J118" s="2"/>
      <c r="K118" s="2"/>
      <c r="L118" s="2"/>
      <c r="M118" s="2"/>
    </row>
    <row r="119" spans="1:13">
      <c r="A119" s="3"/>
      <c r="B119" s="2">
        <v>116</v>
      </c>
      <c r="C119" s="2"/>
      <c r="D119" s="2"/>
      <c r="E119" s="2"/>
      <c r="F119" s="2"/>
      <c r="G119" s="2"/>
      <c r="H119" s="2"/>
      <c r="I119" s="2"/>
      <c r="J119" s="2"/>
      <c r="K119" s="2"/>
      <c r="L119" s="2"/>
      <c r="M119" s="2"/>
    </row>
    <row r="120" spans="1:13">
      <c r="A120" s="3"/>
      <c r="B120" s="2">
        <v>117</v>
      </c>
      <c r="C120" s="2"/>
      <c r="D120" s="2"/>
      <c r="E120" s="2"/>
      <c r="F120" s="2"/>
      <c r="G120" s="2"/>
      <c r="H120" s="2"/>
      <c r="I120" s="2"/>
      <c r="J120" s="2"/>
      <c r="K120" s="2"/>
      <c r="L120" s="2"/>
      <c r="M120" s="2"/>
    </row>
    <row r="121" spans="1:13">
      <c r="A121" s="3"/>
      <c r="B121" s="2">
        <v>118</v>
      </c>
      <c r="C121" s="2"/>
      <c r="D121" s="2"/>
      <c r="E121" s="2"/>
      <c r="F121" s="2"/>
      <c r="G121" s="2"/>
      <c r="H121" s="2"/>
      <c r="I121" s="2"/>
      <c r="J121" s="2"/>
      <c r="K121" s="2"/>
      <c r="L121" s="2"/>
      <c r="M121" s="2"/>
    </row>
    <row r="122" spans="1:13">
      <c r="A122" s="3"/>
      <c r="B122" s="2">
        <v>119</v>
      </c>
      <c r="C122" s="2"/>
      <c r="D122" s="2"/>
      <c r="E122" s="2"/>
      <c r="F122" s="2"/>
      <c r="G122" s="2"/>
      <c r="H122" s="2"/>
      <c r="I122" s="2"/>
      <c r="J122" s="2"/>
      <c r="K122" s="2"/>
      <c r="L122" s="2"/>
      <c r="M122" s="2"/>
    </row>
    <row r="123" spans="1:13">
      <c r="A123" s="3"/>
      <c r="B123" s="2">
        <v>120</v>
      </c>
      <c r="C123" s="2"/>
      <c r="D123" s="2"/>
      <c r="E123" s="2"/>
      <c r="F123" s="2"/>
      <c r="G123" s="2"/>
      <c r="H123" s="2"/>
      <c r="I123" s="2"/>
      <c r="J123" s="2"/>
      <c r="K123" s="2"/>
      <c r="L123" s="2"/>
      <c r="M123" s="2"/>
    </row>
  </sheetData>
  <mergeCells count="1">
    <mergeCell ref="B1:C1"/>
  </mergeCells>
  <conditionalFormatting sqref="B4:M123">
    <cfRule type="expression" dxfId="28" priority="1">
      <formula>AND(B$3&lt;&gt;"-",LEN(B4)&gt;B$3)</formula>
    </cfRule>
    <cfRule type="expression" dxfId="27" priority="2">
      <formula>ISERROR(B$2)</formula>
    </cfRule>
    <cfRule type="expression" dxfId="26" priority="3">
      <formula>AND(B$3&lt;&gt;"-",LEN(B4)&gt;B$3)</formula>
    </cfRule>
    <cfRule type="expression" dxfId="25" priority="4">
      <formula>ISERROR(B$2)</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Feuil13">
    <tabColor rgb="FF00B050"/>
  </sheetPr>
  <dimension ref="A1:M123"/>
  <sheetViews>
    <sheetView zoomScale="85" zoomScaleNormal="85" workbookViewId="0">
      <pane ySplit="3" topLeftCell="A4" activePane="bottomLeft" state="frozen"/>
      <selection activeCell="G20" sqref="G20"/>
      <selection pane="bottomLeft" activeCell="E21" sqref="E21"/>
    </sheetView>
  </sheetViews>
  <sheetFormatPr baseColWidth="10" defaultRowHeight="15"/>
  <cols>
    <col min="2" max="11" width="14.7109375" customWidth="1"/>
  </cols>
  <sheetData>
    <row r="1" spans="1:13" ht="15.75" thickBot="1">
      <c r="A1" s="1" t="s">
        <v>7</v>
      </c>
      <c r="B1" s="29" t="s">
        <v>286</v>
      </c>
      <c r="C1" s="30"/>
      <c r="D1" s="12"/>
      <c r="E1" s="13"/>
      <c r="F1" s="13"/>
      <c r="G1" s="13"/>
      <c r="H1" s="13"/>
      <c r="I1" s="13"/>
      <c r="J1" s="13"/>
      <c r="K1" s="13"/>
      <c r="L1" s="13"/>
      <c r="M1" s="14"/>
    </row>
    <row r="2" spans="1:13" s="6" customFormat="1" ht="24.75" customHeight="1">
      <c r="A2" s="4" t="s">
        <v>5</v>
      </c>
      <c r="B2" s="5" t="str">
        <f t="array" ref="B2:M2">VLOOKUP($B$1&amp;(COLUMN()-1),SQL_Definition[],4,FALSE)</f>
        <v>ID_MenuCate</v>
      </c>
      <c r="C2" s="5" t="str">
        <v>Txt_Cate%Name</v>
      </c>
      <c r="D2" s="11" t="str">
        <v>Txt_CateTitle%Fr</v>
      </c>
      <c r="E2" s="11" t="str">
        <v>Txt_CateTitle%En</v>
      </c>
      <c r="F2" s="11" t="str">
        <v>Txt_CateTitle%Tw</v>
      </c>
      <c r="G2" s="11" t="str">
        <v>Txt_CateTitle%Vn</v>
      </c>
      <c r="H2" s="11" t="str">
        <v>Txt_PicName</v>
      </c>
      <c r="I2" s="11" t="str">
        <v>Int_Cate%Order</v>
      </c>
      <c r="J2" s="11" t="str">
        <v>Txt_AvailableRating</v>
      </c>
      <c r="K2" s="5" t="e">
        <v>#N/A</v>
      </c>
      <c r="L2" s="5" t="e">
        <v>#N/A</v>
      </c>
      <c r="M2" s="5" t="e">
        <v>#N/A</v>
      </c>
    </row>
    <row r="3" spans="1:13" s="6" customFormat="1">
      <c r="A3" s="4" t="s">
        <v>9</v>
      </c>
      <c r="B3" s="5">
        <f t="array" ref="B3:M3">VLOOKUP($B$1&amp;(COLUMN()-1),SQL_Definition[],6,FALSE)</f>
        <v>4</v>
      </c>
      <c r="C3" s="5">
        <v>50</v>
      </c>
      <c r="D3" s="5">
        <v>50</v>
      </c>
      <c r="E3" s="5">
        <v>50</v>
      </c>
      <c r="F3" s="5">
        <v>50</v>
      </c>
      <c r="G3" s="5">
        <v>50</v>
      </c>
      <c r="H3" s="5">
        <v>50</v>
      </c>
      <c r="I3" s="5">
        <v>4</v>
      </c>
      <c r="J3" s="5">
        <v>3</v>
      </c>
      <c r="K3" s="5" t="e">
        <v>#N/A</v>
      </c>
      <c r="L3" s="5" t="e">
        <v>#N/A</v>
      </c>
      <c r="M3" s="5" t="e">
        <v>#N/A</v>
      </c>
    </row>
    <row r="4" spans="1:13">
      <c r="A4" s="3"/>
      <c r="B4" s="2">
        <v>1</v>
      </c>
      <c r="C4" s="2" t="s">
        <v>411</v>
      </c>
      <c r="D4" s="2" t="s">
        <v>411</v>
      </c>
      <c r="E4" s="2" t="s">
        <v>412</v>
      </c>
      <c r="F4" s="2"/>
      <c r="G4" s="2"/>
      <c r="H4" s="2" t="s">
        <v>413</v>
      </c>
      <c r="I4" s="2">
        <v>1</v>
      </c>
      <c r="J4" s="2" t="s">
        <v>414</v>
      </c>
      <c r="K4" s="2"/>
      <c r="L4" s="2"/>
      <c r="M4" s="2"/>
    </row>
    <row r="5" spans="1:13">
      <c r="A5" s="3"/>
      <c r="B5" s="2">
        <v>2</v>
      </c>
      <c r="C5" s="2" t="s">
        <v>415</v>
      </c>
      <c r="D5" s="2" t="s">
        <v>416</v>
      </c>
      <c r="E5" s="2" t="s">
        <v>417</v>
      </c>
      <c r="F5" s="2"/>
      <c r="G5" s="2"/>
      <c r="H5" s="2" t="s">
        <v>418</v>
      </c>
      <c r="I5" s="2">
        <v>2</v>
      </c>
      <c r="J5" s="2" t="s">
        <v>414</v>
      </c>
      <c r="K5" s="2"/>
      <c r="L5" s="2"/>
      <c r="M5" s="2"/>
    </row>
    <row r="6" spans="1:13">
      <c r="A6" s="3"/>
      <c r="B6" s="2">
        <v>3</v>
      </c>
      <c r="C6" s="2" t="s">
        <v>419</v>
      </c>
      <c r="D6" s="2" t="s">
        <v>420</v>
      </c>
      <c r="E6" s="2" t="s">
        <v>419</v>
      </c>
      <c r="F6" s="2"/>
      <c r="G6" s="2"/>
      <c r="H6" s="2" t="s">
        <v>421</v>
      </c>
      <c r="I6" s="2">
        <v>3</v>
      </c>
      <c r="J6" s="2" t="s">
        <v>414</v>
      </c>
      <c r="K6" s="2"/>
      <c r="L6" s="2"/>
      <c r="M6" s="2"/>
    </row>
    <row r="7" spans="1:13">
      <c r="A7" s="3"/>
      <c r="B7" s="2">
        <v>4</v>
      </c>
      <c r="C7" s="2" t="s">
        <v>422</v>
      </c>
      <c r="D7" s="2" t="s">
        <v>423</v>
      </c>
      <c r="E7" s="2" t="s">
        <v>422</v>
      </c>
      <c r="F7" s="2"/>
      <c r="G7" s="2"/>
      <c r="H7" s="2" t="s">
        <v>424</v>
      </c>
      <c r="I7" s="2">
        <v>4</v>
      </c>
      <c r="J7" s="2" t="s">
        <v>414</v>
      </c>
      <c r="K7" s="2"/>
      <c r="L7" s="2"/>
      <c r="M7" s="2"/>
    </row>
    <row r="8" spans="1:13">
      <c r="A8" s="3"/>
      <c r="B8" s="2">
        <v>5</v>
      </c>
      <c r="C8" s="2" t="s">
        <v>425</v>
      </c>
      <c r="D8" s="2" t="s">
        <v>426</v>
      </c>
      <c r="E8" s="2" t="s">
        <v>425</v>
      </c>
      <c r="F8" s="2"/>
      <c r="G8" s="2"/>
      <c r="H8" s="2" t="s">
        <v>427</v>
      </c>
      <c r="I8" s="2">
        <v>5</v>
      </c>
      <c r="J8" s="2" t="s">
        <v>414</v>
      </c>
      <c r="K8" s="2"/>
      <c r="L8" s="2"/>
      <c r="M8" s="2"/>
    </row>
    <row r="9" spans="1:13">
      <c r="A9" s="3"/>
      <c r="B9" s="2">
        <v>6</v>
      </c>
      <c r="C9" s="2" t="s">
        <v>428</v>
      </c>
      <c r="D9" s="2" t="s">
        <v>429</v>
      </c>
      <c r="E9" s="2" t="s">
        <v>430</v>
      </c>
      <c r="F9" s="2"/>
      <c r="G9" s="2"/>
      <c r="H9" s="2" t="s">
        <v>424</v>
      </c>
      <c r="I9" s="2">
        <v>6</v>
      </c>
      <c r="J9" s="2" t="s">
        <v>414</v>
      </c>
      <c r="K9" s="2"/>
      <c r="L9" s="2"/>
      <c r="M9" s="2"/>
    </row>
    <row r="10" spans="1:13">
      <c r="A10" s="3"/>
      <c r="B10" s="2">
        <v>7</v>
      </c>
      <c r="C10" s="2" t="s">
        <v>431</v>
      </c>
      <c r="D10" s="2" t="s">
        <v>431</v>
      </c>
      <c r="E10" s="2" t="s">
        <v>432</v>
      </c>
      <c r="F10" s="2"/>
      <c r="G10" s="2"/>
      <c r="H10" s="2" t="s">
        <v>424</v>
      </c>
      <c r="I10" s="2">
        <v>7</v>
      </c>
      <c r="J10" s="2" t="s">
        <v>414</v>
      </c>
      <c r="K10" s="2"/>
      <c r="L10" s="2"/>
      <c r="M10" s="2"/>
    </row>
    <row r="11" spans="1:13">
      <c r="A11" s="3"/>
      <c r="B11" s="2">
        <v>8</v>
      </c>
      <c r="C11" s="2" t="s">
        <v>433</v>
      </c>
      <c r="D11" s="2" t="s">
        <v>433</v>
      </c>
      <c r="E11" s="2"/>
      <c r="F11" s="2"/>
      <c r="G11" s="2"/>
      <c r="H11" s="2" t="s">
        <v>424</v>
      </c>
      <c r="I11" s="2">
        <v>8</v>
      </c>
      <c r="J11" s="2" t="s">
        <v>414</v>
      </c>
      <c r="K11" s="2"/>
      <c r="L11" s="2"/>
      <c r="M11" s="2"/>
    </row>
    <row r="12" spans="1:13">
      <c r="A12" s="3"/>
      <c r="B12" s="2">
        <v>9</v>
      </c>
      <c r="C12" s="2" t="s">
        <v>434</v>
      </c>
      <c r="D12" s="2" t="s">
        <v>434</v>
      </c>
      <c r="E12" s="2" t="s">
        <v>435</v>
      </c>
      <c r="F12" s="2"/>
      <c r="G12" s="2"/>
      <c r="H12" s="2" t="s">
        <v>424</v>
      </c>
      <c r="I12" s="2">
        <v>9</v>
      </c>
      <c r="J12" s="2" t="s">
        <v>414</v>
      </c>
      <c r="K12" s="2"/>
      <c r="L12" s="2"/>
      <c r="M12" s="2"/>
    </row>
    <row r="13" spans="1:13">
      <c r="A13" s="3"/>
      <c r="B13" s="2">
        <v>10</v>
      </c>
      <c r="C13" s="2" t="s">
        <v>436</v>
      </c>
      <c r="D13" s="2" t="s">
        <v>436</v>
      </c>
      <c r="E13" s="2" t="s">
        <v>437</v>
      </c>
      <c r="F13" s="2"/>
      <c r="G13" s="2"/>
      <c r="H13" s="2" t="s">
        <v>424</v>
      </c>
      <c r="I13" s="2">
        <v>10</v>
      </c>
      <c r="J13" s="2" t="s">
        <v>414</v>
      </c>
      <c r="K13" s="2"/>
      <c r="L13" s="2"/>
      <c r="M13" s="2"/>
    </row>
    <row r="14" spans="1:13">
      <c r="A14" s="3"/>
      <c r="B14" s="2">
        <v>11</v>
      </c>
      <c r="C14" s="2" t="s">
        <v>438</v>
      </c>
      <c r="D14" s="2" t="s">
        <v>438</v>
      </c>
      <c r="E14" s="2" t="s">
        <v>439</v>
      </c>
      <c r="F14" s="2"/>
      <c r="G14" s="2"/>
      <c r="H14" s="2" t="s">
        <v>424</v>
      </c>
      <c r="I14" s="2">
        <v>11</v>
      </c>
      <c r="J14" s="2" t="s">
        <v>414</v>
      </c>
      <c r="K14" s="2"/>
      <c r="L14" s="2"/>
      <c r="M14" s="2"/>
    </row>
    <row r="15" spans="1:13">
      <c r="A15" s="3"/>
      <c r="B15" s="2">
        <v>12</v>
      </c>
      <c r="C15" s="2" t="s">
        <v>440</v>
      </c>
      <c r="D15" s="2" t="s">
        <v>440</v>
      </c>
      <c r="E15" s="2"/>
      <c r="F15" s="2"/>
      <c r="G15" s="2"/>
      <c r="H15" s="2" t="s">
        <v>424</v>
      </c>
      <c r="I15" s="2">
        <v>12</v>
      </c>
      <c r="J15" s="2" t="s">
        <v>414</v>
      </c>
      <c r="K15" s="2"/>
      <c r="L15" s="2"/>
      <c r="M15" s="2"/>
    </row>
    <row r="16" spans="1:13">
      <c r="A16" s="3"/>
      <c r="B16" s="2">
        <v>13</v>
      </c>
      <c r="C16" s="2" t="s">
        <v>441</v>
      </c>
      <c r="D16" s="2" t="s">
        <v>441</v>
      </c>
      <c r="E16" s="2" t="s">
        <v>442</v>
      </c>
      <c r="F16" s="2"/>
      <c r="G16" s="2"/>
      <c r="H16" s="2" t="s">
        <v>424</v>
      </c>
      <c r="I16" s="2">
        <v>13</v>
      </c>
      <c r="J16" s="2" t="s">
        <v>414</v>
      </c>
      <c r="K16" s="2"/>
      <c r="L16" s="2"/>
      <c r="M16" s="2"/>
    </row>
    <row r="17" spans="1:13">
      <c r="A17" s="3"/>
      <c r="B17" s="2">
        <v>14</v>
      </c>
      <c r="C17" s="2" t="s">
        <v>443</v>
      </c>
      <c r="D17" s="2" t="s">
        <v>443</v>
      </c>
      <c r="E17" s="2" t="s">
        <v>443</v>
      </c>
      <c r="F17" s="2"/>
      <c r="G17" s="2"/>
      <c r="H17" s="2" t="s">
        <v>424</v>
      </c>
      <c r="I17" s="2">
        <v>14</v>
      </c>
      <c r="J17" s="2" t="s">
        <v>414</v>
      </c>
      <c r="K17" s="2"/>
      <c r="L17" s="2"/>
      <c r="M17" s="2"/>
    </row>
    <row r="18" spans="1:13">
      <c r="A18" s="3"/>
      <c r="B18" s="2">
        <v>15</v>
      </c>
      <c r="C18" s="2" t="s">
        <v>444</v>
      </c>
      <c r="D18" s="2" t="s">
        <v>444</v>
      </c>
      <c r="E18" s="2" t="s">
        <v>445</v>
      </c>
      <c r="F18" s="2"/>
      <c r="G18" s="2"/>
      <c r="H18" s="2" t="s">
        <v>424</v>
      </c>
      <c r="I18" s="2">
        <v>15</v>
      </c>
      <c r="J18" s="2" t="s">
        <v>414</v>
      </c>
      <c r="K18" s="2"/>
      <c r="L18" s="2"/>
      <c r="M18" s="2"/>
    </row>
    <row r="19" spans="1:13">
      <c r="A19" s="3"/>
      <c r="B19" s="2">
        <v>16</v>
      </c>
      <c r="C19" s="2" t="s">
        <v>446</v>
      </c>
      <c r="D19" s="2" t="s">
        <v>446</v>
      </c>
      <c r="E19" s="2" t="s">
        <v>447</v>
      </c>
      <c r="F19" s="2"/>
      <c r="G19" s="2"/>
      <c r="H19" s="2" t="s">
        <v>424</v>
      </c>
      <c r="I19" s="2">
        <v>16</v>
      </c>
      <c r="J19" s="2" t="s">
        <v>414</v>
      </c>
      <c r="K19" s="2"/>
      <c r="L19" s="2"/>
      <c r="M19" s="2"/>
    </row>
    <row r="20" spans="1:13">
      <c r="A20" s="3"/>
      <c r="B20" s="2">
        <v>17</v>
      </c>
      <c r="C20" s="2"/>
      <c r="D20" s="2"/>
      <c r="E20" s="2"/>
      <c r="F20" s="2"/>
      <c r="G20" s="2"/>
      <c r="H20" s="2"/>
      <c r="I20" s="2"/>
      <c r="J20" s="2"/>
      <c r="K20" s="2"/>
      <c r="L20" s="2"/>
      <c r="M20" s="2"/>
    </row>
    <row r="21" spans="1:13">
      <c r="A21" s="3"/>
      <c r="B21" s="2">
        <v>18</v>
      </c>
      <c r="C21" s="2"/>
      <c r="D21" s="2"/>
      <c r="E21" s="2"/>
      <c r="F21" s="2"/>
      <c r="G21" s="2"/>
      <c r="H21" s="2"/>
      <c r="I21" s="2"/>
      <c r="J21" s="2"/>
      <c r="K21" s="2"/>
      <c r="L21" s="2"/>
      <c r="M21" s="2"/>
    </row>
    <row r="22" spans="1:13">
      <c r="A22" s="3"/>
      <c r="B22" s="2">
        <v>19</v>
      </c>
      <c r="C22" s="2"/>
      <c r="D22" s="2"/>
      <c r="E22" s="2"/>
      <c r="F22" s="2"/>
      <c r="G22" s="2"/>
      <c r="H22" s="2"/>
      <c r="I22" s="2"/>
      <c r="J22" s="2"/>
      <c r="K22" s="2"/>
      <c r="L22" s="2"/>
      <c r="M22" s="2"/>
    </row>
    <row r="23" spans="1:13">
      <c r="A23" s="3"/>
      <c r="B23" s="2">
        <v>20</v>
      </c>
      <c r="C23" s="2"/>
      <c r="D23" s="2"/>
      <c r="E23" s="2"/>
      <c r="F23" s="2"/>
      <c r="G23" s="2"/>
      <c r="H23" s="2"/>
      <c r="I23" s="2"/>
      <c r="J23" s="2"/>
      <c r="K23" s="2"/>
      <c r="L23" s="2"/>
      <c r="M23" s="2"/>
    </row>
    <row r="24" spans="1:13">
      <c r="A24" s="3"/>
      <c r="B24" s="2">
        <v>21</v>
      </c>
      <c r="C24" s="2"/>
      <c r="D24" s="2"/>
      <c r="E24" s="2"/>
      <c r="F24" s="2"/>
      <c r="G24" s="2"/>
      <c r="H24" s="2"/>
      <c r="I24" s="2"/>
      <c r="J24" s="2"/>
      <c r="K24" s="2"/>
      <c r="L24" s="2"/>
      <c r="M24" s="2"/>
    </row>
    <row r="25" spans="1:13">
      <c r="A25" s="3"/>
      <c r="B25" s="2">
        <v>22</v>
      </c>
      <c r="C25" s="2"/>
      <c r="D25" s="2"/>
      <c r="E25" s="2"/>
      <c r="F25" s="2"/>
      <c r="G25" s="2"/>
      <c r="H25" s="2"/>
      <c r="I25" s="2"/>
      <c r="J25" s="2"/>
      <c r="K25" s="2"/>
      <c r="L25" s="2"/>
      <c r="M25" s="2"/>
    </row>
    <row r="26" spans="1:13">
      <c r="A26" s="3"/>
      <c r="B26" s="2">
        <v>23</v>
      </c>
      <c r="C26" s="2"/>
      <c r="D26" s="2"/>
      <c r="E26" s="2"/>
      <c r="F26" s="2"/>
      <c r="G26" s="2"/>
      <c r="H26" s="2"/>
      <c r="I26" s="2"/>
      <c r="J26" s="2"/>
      <c r="K26" s="2"/>
      <c r="L26" s="2"/>
      <c r="M26" s="2"/>
    </row>
    <row r="27" spans="1:13">
      <c r="A27" s="3"/>
      <c r="B27" s="2">
        <v>24</v>
      </c>
      <c r="C27" s="2"/>
      <c r="D27" s="2"/>
      <c r="E27" s="2"/>
      <c r="F27" s="2"/>
      <c r="G27" s="2"/>
      <c r="H27" s="2"/>
      <c r="I27" s="2"/>
      <c r="J27" s="2"/>
      <c r="K27" s="2"/>
      <c r="L27" s="2"/>
      <c r="M27" s="2"/>
    </row>
    <row r="28" spans="1:13">
      <c r="A28" s="3"/>
      <c r="B28" s="2">
        <v>25</v>
      </c>
      <c r="C28" s="2"/>
      <c r="D28" s="2"/>
      <c r="E28" s="2"/>
      <c r="F28" s="2"/>
      <c r="G28" s="2"/>
      <c r="H28" s="2"/>
      <c r="I28" s="2"/>
      <c r="J28" s="2"/>
      <c r="K28" s="2"/>
      <c r="L28" s="2"/>
      <c r="M28" s="2"/>
    </row>
    <row r="29" spans="1:13">
      <c r="A29" s="3"/>
      <c r="B29" s="2">
        <v>26</v>
      </c>
      <c r="C29" s="2"/>
      <c r="D29" s="2"/>
      <c r="E29" s="2"/>
      <c r="F29" s="2"/>
      <c r="G29" s="2"/>
      <c r="H29" s="2"/>
      <c r="I29" s="2"/>
      <c r="J29" s="2"/>
      <c r="K29" s="2"/>
      <c r="L29" s="2"/>
      <c r="M29" s="2"/>
    </row>
    <row r="30" spans="1:13">
      <c r="A30" s="3"/>
      <c r="B30" s="2">
        <v>27</v>
      </c>
      <c r="C30" s="2"/>
      <c r="D30" s="2"/>
      <c r="E30" s="2"/>
      <c r="F30" s="2"/>
      <c r="G30" s="2"/>
      <c r="H30" s="2"/>
      <c r="I30" s="2"/>
      <c r="J30" s="2"/>
      <c r="K30" s="2"/>
      <c r="L30" s="2"/>
      <c r="M30" s="2"/>
    </row>
    <row r="31" spans="1:13">
      <c r="A31" s="3"/>
      <c r="B31" s="2">
        <v>28</v>
      </c>
      <c r="C31" s="2"/>
      <c r="D31" s="2"/>
      <c r="E31" s="2"/>
      <c r="F31" s="2"/>
      <c r="G31" s="2"/>
      <c r="H31" s="2"/>
      <c r="I31" s="2"/>
      <c r="J31" s="2"/>
      <c r="K31" s="2"/>
      <c r="L31" s="2"/>
      <c r="M31" s="2"/>
    </row>
    <row r="32" spans="1:13">
      <c r="A32" s="3"/>
      <c r="B32" s="2">
        <v>29</v>
      </c>
      <c r="C32" s="2"/>
      <c r="D32" s="2"/>
      <c r="E32" s="2"/>
      <c r="F32" s="2"/>
      <c r="G32" s="2"/>
      <c r="H32" s="2"/>
      <c r="I32" s="2"/>
      <c r="J32" s="2"/>
      <c r="K32" s="2"/>
      <c r="L32" s="2"/>
      <c r="M32" s="2"/>
    </row>
    <row r="33" spans="1:13">
      <c r="A33" s="3"/>
      <c r="B33" s="2">
        <v>30</v>
      </c>
      <c r="C33" s="2"/>
      <c r="D33" s="2"/>
      <c r="E33" s="2"/>
      <c r="F33" s="2"/>
      <c r="G33" s="2"/>
      <c r="H33" s="2"/>
      <c r="I33" s="2"/>
      <c r="J33" s="2"/>
      <c r="K33" s="2"/>
      <c r="L33" s="2"/>
      <c r="M33" s="2"/>
    </row>
    <row r="34" spans="1:13">
      <c r="A34" s="3"/>
      <c r="B34" s="2">
        <v>31</v>
      </c>
      <c r="C34" s="2"/>
      <c r="D34" s="2"/>
      <c r="E34" s="2"/>
      <c r="F34" s="2"/>
      <c r="G34" s="2"/>
      <c r="H34" s="2"/>
      <c r="I34" s="2"/>
      <c r="J34" s="2"/>
      <c r="K34" s="2"/>
      <c r="L34" s="2"/>
      <c r="M34" s="2"/>
    </row>
    <row r="35" spans="1:13">
      <c r="A35" s="3"/>
      <c r="B35" s="2">
        <v>32</v>
      </c>
      <c r="C35" s="2"/>
      <c r="D35" s="2"/>
      <c r="E35" s="2"/>
      <c r="F35" s="2"/>
      <c r="G35" s="2"/>
      <c r="H35" s="2"/>
      <c r="I35" s="2"/>
      <c r="J35" s="2"/>
      <c r="K35" s="2"/>
      <c r="L35" s="2"/>
      <c r="M35" s="2"/>
    </row>
    <row r="36" spans="1:13">
      <c r="A36" s="3"/>
      <c r="B36" s="2">
        <v>33</v>
      </c>
      <c r="C36" s="2"/>
      <c r="D36" s="2"/>
      <c r="E36" s="2"/>
      <c r="F36" s="2"/>
      <c r="G36" s="2"/>
      <c r="H36" s="2"/>
      <c r="I36" s="2"/>
      <c r="J36" s="2"/>
      <c r="K36" s="2"/>
      <c r="L36" s="2"/>
      <c r="M36" s="2"/>
    </row>
    <row r="37" spans="1:13">
      <c r="A37" s="3"/>
      <c r="B37" s="2">
        <v>34</v>
      </c>
      <c r="C37" s="2"/>
      <c r="D37" s="2"/>
      <c r="E37" s="2"/>
      <c r="F37" s="2"/>
      <c r="G37" s="2"/>
      <c r="H37" s="2"/>
      <c r="I37" s="2"/>
      <c r="J37" s="2"/>
      <c r="K37" s="2"/>
      <c r="L37" s="2"/>
      <c r="M37" s="2"/>
    </row>
    <row r="38" spans="1:13">
      <c r="A38" s="3"/>
      <c r="B38" s="2">
        <v>35</v>
      </c>
      <c r="C38" s="2"/>
      <c r="D38" s="2"/>
      <c r="E38" s="2"/>
      <c r="F38" s="2"/>
      <c r="G38" s="2"/>
      <c r="H38" s="2"/>
      <c r="I38" s="2"/>
      <c r="J38" s="2"/>
      <c r="K38" s="2"/>
      <c r="L38" s="2"/>
      <c r="M38" s="2"/>
    </row>
    <row r="39" spans="1:13">
      <c r="A39" s="3"/>
      <c r="B39" s="2">
        <v>36</v>
      </c>
      <c r="C39" s="2"/>
      <c r="D39" s="2"/>
      <c r="E39" s="2"/>
      <c r="F39" s="2"/>
      <c r="G39" s="2"/>
      <c r="H39" s="2"/>
      <c r="I39" s="2"/>
      <c r="J39" s="2"/>
      <c r="K39" s="2"/>
      <c r="L39" s="2"/>
      <c r="M39" s="2"/>
    </row>
    <row r="40" spans="1:13">
      <c r="A40" s="3"/>
      <c r="B40" s="2">
        <v>37</v>
      </c>
      <c r="C40" s="2"/>
      <c r="D40" s="2"/>
      <c r="E40" s="2"/>
      <c r="F40" s="2"/>
      <c r="G40" s="2"/>
      <c r="H40" s="2"/>
      <c r="I40" s="2"/>
      <c r="J40" s="2"/>
      <c r="K40" s="2"/>
      <c r="L40" s="2"/>
      <c r="M40" s="2"/>
    </row>
    <row r="41" spans="1:13">
      <c r="A41" s="3"/>
      <c r="B41" s="2">
        <v>38</v>
      </c>
      <c r="C41" s="2"/>
      <c r="D41" s="2"/>
      <c r="E41" s="2"/>
      <c r="F41" s="2"/>
      <c r="G41" s="2"/>
      <c r="H41" s="2"/>
      <c r="I41" s="2"/>
      <c r="J41" s="2"/>
      <c r="K41" s="2"/>
      <c r="L41" s="2"/>
      <c r="M41" s="2"/>
    </row>
    <row r="42" spans="1:13">
      <c r="A42" s="3"/>
      <c r="B42" s="2">
        <v>39</v>
      </c>
      <c r="C42" s="2"/>
      <c r="D42" s="2"/>
      <c r="E42" s="2"/>
      <c r="F42" s="2"/>
      <c r="G42" s="2"/>
      <c r="H42" s="2"/>
      <c r="I42" s="2"/>
      <c r="J42" s="2"/>
      <c r="K42" s="2"/>
      <c r="L42" s="2"/>
      <c r="M42" s="2"/>
    </row>
    <row r="43" spans="1:13">
      <c r="A43" s="3"/>
      <c r="B43" s="2">
        <v>40</v>
      </c>
      <c r="C43" s="2"/>
      <c r="D43" s="2"/>
      <c r="E43" s="2"/>
      <c r="F43" s="2"/>
      <c r="G43" s="2"/>
      <c r="H43" s="2"/>
      <c r="I43" s="2"/>
      <c r="J43" s="2"/>
      <c r="K43" s="2"/>
      <c r="L43" s="2"/>
      <c r="M43" s="2"/>
    </row>
    <row r="44" spans="1:13">
      <c r="A44" s="3"/>
      <c r="B44" s="2">
        <v>41</v>
      </c>
      <c r="C44" s="2"/>
      <c r="D44" s="2"/>
      <c r="E44" s="2"/>
      <c r="F44" s="2"/>
      <c r="G44" s="2"/>
      <c r="H44" s="2"/>
      <c r="I44" s="2"/>
      <c r="J44" s="2"/>
      <c r="K44" s="2"/>
      <c r="L44" s="2"/>
      <c r="M44" s="2"/>
    </row>
    <row r="45" spans="1:13">
      <c r="A45" s="3"/>
      <c r="B45" s="2">
        <v>42</v>
      </c>
      <c r="C45" s="2"/>
      <c r="D45" s="2"/>
      <c r="E45" s="2"/>
      <c r="F45" s="2"/>
      <c r="G45" s="2"/>
      <c r="H45" s="2"/>
      <c r="I45" s="2"/>
      <c r="J45" s="2"/>
      <c r="K45" s="2"/>
      <c r="L45" s="2"/>
      <c r="M45" s="2"/>
    </row>
    <row r="46" spans="1:13">
      <c r="A46" s="3"/>
      <c r="B46" s="2">
        <v>43</v>
      </c>
      <c r="C46" s="2"/>
      <c r="D46" s="2"/>
      <c r="E46" s="2"/>
      <c r="F46" s="2"/>
      <c r="G46" s="2"/>
      <c r="H46" s="2"/>
      <c r="I46" s="2"/>
      <c r="J46" s="2"/>
      <c r="K46" s="2"/>
      <c r="L46" s="2"/>
      <c r="M46" s="2"/>
    </row>
    <row r="47" spans="1:13">
      <c r="A47" s="3"/>
      <c r="B47" s="2">
        <v>44</v>
      </c>
      <c r="C47" s="2"/>
      <c r="D47" s="2"/>
      <c r="E47" s="2"/>
      <c r="F47" s="2"/>
      <c r="G47" s="2"/>
      <c r="H47" s="2"/>
      <c r="I47" s="2"/>
      <c r="J47" s="2"/>
      <c r="K47" s="2"/>
      <c r="L47" s="2"/>
      <c r="M47" s="2"/>
    </row>
    <row r="48" spans="1:13">
      <c r="A48" s="3"/>
      <c r="B48" s="2">
        <v>45</v>
      </c>
      <c r="C48" s="2"/>
      <c r="D48" s="2"/>
      <c r="E48" s="2"/>
      <c r="F48" s="2"/>
      <c r="G48" s="2"/>
      <c r="H48" s="2"/>
      <c r="I48" s="2"/>
      <c r="J48" s="2"/>
      <c r="K48" s="2"/>
      <c r="L48" s="2"/>
      <c r="M48" s="2"/>
    </row>
    <row r="49" spans="1:13">
      <c r="A49" s="3"/>
      <c r="B49" s="2">
        <v>46</v>
      </c>
      <c r="C49" s="2"/>
      <c r="D49" s="2"/>
      <c r="E49" s="2"/>
      <c r="F49" s="2"/>
      <c r="G49" s="2"/>
      <c r="H49" s="2"/>
      <c r="I49" s="2"/>
      <c r="J49" s="2"/>
      <c r="K49" s="2"/>
      <c r="L49" s="2"/>
      <c r="M49" s="2"/>
    </row>
    <row r="50" spans="1:13">
      <c r="A50" s="3"/>
      <c r="B50" s="2">
        <v>47</v>
      </c>
      <c r="C50" s="2"/>
      <c r="D50" s="2"/>
      <c r="E50" s="2"/>
      <c r="F50" s="2"/>
      <c r="G50" s="2"/>
      <c r="H50" s="2"/>
      <c r="I50" s="2"/>
      <c r="J50" s="2"/>
      <c r="K50" s="2"/>
      <c r="L50" s="2"/>
      <c r="M50" s="2"/>
    </row>
    <row r="51" spans="1:13">
      <c r="A51" s="3"/>
      <c r="B51" s="2">
        <v>48</v>
      </c>
      <c r="C51" s="2"/>
      <c r="D51" s="2"/>
      <c r="E51" s="2"/>
      <c r="F51" s="2"/>
      <c r="G51" s="2"/>
      <c r="H51" s="2"/>
      <c r="I51" s="2"/>
      <c r="J51" s="2"/>
      <c r="K51" s="2"/>
      <c r="L51" s="2"/>
      <c r="M51" s="2"/>
    </row>
    <row r="52" spans="1:13">
      <c r="A52" s="3"/>
      <c r="B52" s="2">
        <v>49</v>
      </c>
      <c r="C52" s="2"/>
      <c r="D52" s="2"/>
      <c r="E52" s="2"/>
      <c r="F52" s="2"/>
      <c r="G52" s="2"/>
      <c r="H52" s="2"/>
      <c r="I52" s="2"/>
      <c r="J52" s="2"/>
      <c r="K52" s="2"/>
      <c r="L52" s="2"/>
      <c r="M52" s="2"/>
    </row>
    <row r="53" spans="1:13">
      <c r="A53" s="3"/>
      <c r="B53" s="2">
        <v>50</v>
      </c>
      <c r="C53" s="2"/>
      <c r="D53" s="2"/>
      <c r="E53" s="2"/>
      <c r="F53" s="2"/>
      <c r="G53" s="2"/>
      <c r="H53" s="2"/>
      <c r="I53" s="2"/>
      <c r="J53" s="2"/>
      <c r="K53" s="2"/>
      <c r="L53" s="2"/>
      <c r="M53" s="2"/>
    </row>
    <row r="54" spans="1:13">
      <c r="A54" s="3"/>
      <c r="B54" s="2">
        <v>51</v>
      </c>
      <c r="C54" s="2"/>
      <c r="D54" s="2"/>
      <c r="E54" s="2"/>
      <c r="F54" s="2"/>
      <c r="G54" s="2"/>
      <c r="H54" s="2"/>
      <c r="I54" s="2"/>
      <c r="J54" s="2"/>
      <c r="K54" s="2"/>
      <c r="L54" s="2"/>
      <c r="M54" s="2"/>
    </row>
    <row r="55" spans="1:13">
      <c r="A55" s="3"/>
      <c r="B55" s="2">
        <v>52</v>
      </c>
      <c r="C55" s="2"/>
      <c r="D55" s="2"/>
      <c r="E55" s="2"/>
      <c r="F55" s="2"/>
      <c r="G55" s="2"/>
      <c r="H55" s="2"/>
      <c r="I55" s="2"/>
      <c r="J55" s="2"/>
      <c r="K55" s="2"/>
      <c r="L55" s="2"/>
      <c r="M55" s="2"/>
    </row>
    <row r="56" spans="1:13">
      <c r="A56" s="3"/>
      <c r="B56" s="2">
        <v>53</v>
      </c>
      <c r="C56" s="2"/>
      <c r="D56" s="2"/>
      <c r="E56" s="2"/>
      <c r="F56" s="2"/>
      <c r="G56" s="2"/>
      <c r="H56" s="2"/>
      <c r="I56" s="2"/>
      <c r="J56" s="2"/>
      <c r="K56" s="2"/>
      <c r="L56" s="2"/>
      <c r="M56" s="2"/>
    </row>
    <row r="57" spans="1:13">
      <c r="A57" s="3"/>
      <c r="B57" s="2">
        <v>54</v>
      </c>
      <c r="C57" s="2"/>
      <c r="D57" s="2"/>
      <c r="E57" s="2"/>
      <c r="F57" s="2"/>
      <c r="G57" s="2"/>
      <c r="H57" s="2"/>
      <c r="I57" s="2"/>
      <c r="J57" s="2"/>
      <c r="K57" s="2"/>
      <c r="L57" s="2"/>
      <c r="M57" s="2"/>
    </row>
    <row r="58" spans="1:13">
      <c r="A58" s="3"/>
      <c r="B58" s="2">
        <v>55</v>
      </c>
      <c r="C58" s="2"/>
      <c r="D58" s="2"/>
      <c r="E58" s="2"/>
      <c r="F58" s="2"/>
      <c r="G58" s="2"/>
      <c r="H58" s="2"/>
      <c r="I58" s="2"/>
      <c r="J58" s="2"/>
      <c r="K58" s="2"/>
      <c r="L58" s="2"/>
      <c r="M58" s="2"/>
    </row>
    <row r="59" spans="1:13">
      <c r="A59" s="3"/>
      <c r="B59" s="2">
        <v>56</v>
      </c>
      <c r="C59" s="2"/>
      <c r="D59" s="2"/>
      <c r="E59" s="2"/>
      <c r="F59" s="2"/>
      <c r="G59" s="2"/>
      <c r="H59" s="2"/>
      <c r="I59" s="2"/>
      <c r="J59" s="2"/>
      <c r="K59" s="2"/>
      <c r="L59" s="2"/>
      <c r="M59" s="2"/>
    </row>
    <row r="60" spans="1:13">
      <c r="A60" s="3"/>
      <c r="B60" s="2">
        <v>57</v>
      </c>
      <c r="C60" s="2"/>
      <c r="D60" s="2"/>
      <c r="E60" s="2"/>
      <c r="F60" s="2"/>
      <c r="G60" s="2"/>
      <c r="H60" s="2"/>
      <c r="I60" s="2"/>
      <c r="J60" s="2"/>
      <c r="K60" s="2"/>
      <c r="L60" s="2"/>
      <c r="M60" s="2"/>
    </row>
    <row r="61" spans="1:13">
      <c r="A61" s="3"/>
      <c r="B61" s="2">
        <v>58</v>
      </c>
      <c r="C61" s="2"/>
      <c r="D61" s="2"/>
      <c r="E61" s="2"/>
      <c r="F61" s="2"/>
      <c r="G61" s="2"/>
      <c r="H61" s="2"/>
      <c r="I61" s="2"/>
      <c r="J61" s="2"/>
      <c r="K61" s="2"/>
      <c r="L61" s="2"/>
      <c r="M61" s="2"/>
    </row>
    <row r="62" spans="1:13">
      <c r="A62" s="3"/>
      <c r="B62" s="2">
        <v>59</v>
      </c>
      <c r="C62" s="2"/>
      <c r="D62" s="2"/>
      <c r="E62" s="2"/>
      <c r="F62" s="2"/>
      <c r="G62" s="2"/>
      <c r="H62" s="2"/>
      <c r="I62" s="2"/>
      <c r="J62" s="2"/>
      <c r="K62" s="2"/>
      <c r="L62" s="2"/>
      <c r="M62" s="2"/>
    </row>
    <row r="63" spans="1:13">
      <c r="A63" s="3"/>
      <c r="B63" s="2">
        <v>60</v>
      </c>
      <c r="C63" s="2"/>
      <c r="D63" s="2"/>
      <c r="E63" s="2"/>
      <c r="F63" s="2"/>
      <c r="G63" s="2"/>
      <c r="H63" s="2"/>
      <c r="I63" s="2"/>
      <c r="J63" s="2"/>
      <c r="K63" s="2"/>
      <c r="L63" s="2"/>
      <c r="M63" s="2"/>
    </row>
    <row r="64" spans="1:13">
      <c r="A64" s="3"/>
      <c r="B64" s="2">
        <v>61</v>
      </c>
      <c r="C64" s="2"/>
      <c r="D64" s="2"/>
      <c r="E64" s="2"/>
      <c r="F64" s="2"/>
      <c r="G64" s="2"/>
      <c r="H64" s="2"/>
      <c r="I64" s="2"/>
      <c r="J64" s="2"/>
      <c r="K64" s="2"/>
      <c r="L64" s="2"/>
      <c r="M64" s="2"/>
    </row>
    <row r="65" spans="1:13">
      <c r="A65" s="3"/>
      <c r="B65" s="2">
        <v>62</v>
      </c>
      <c r="C65" s="2"/>
      <c r="D65" s="2"/>
      <c r="E65" s="2"/>
      <c r="F65" s="2"/>
      <c r="G65" s="2"/>
      <c r="H65" s="2"/>
      <c r="I65" s="2"/>
      <c r="J65" s="2"/>
      <c r="K65" s="2"/>
      <c r="L65" s="2"/>
      <c r="M65" s="2"/>
    </row>
    <row r="66" spans="1:13">
      <c r="A66" s="3"/>
      <c r="B66" s="2">
        <v>63</v>
      </c>
      <c r="C66" s="2"/>
      <c r="D66" s="2"/>
      <c r="E66" s="2"/>
      <c r="F66" s="2"/>
      <c r="G66" s="2"/>
      <c r="H66" s="2"/>
      <c r="I66" s="2"/>
      <c r="J66" s="2"/>
      <c r="K66" s="2"/>
      <c r="L66" s="2"/>
      <c r="M66" s="2"/>
    </row>
    <row r="67" spans="1:13">
      <c r="A67" s="3"/>
      <c r="B67" s="2">
        <v>64</v>
      </c>
      <c r="C67" s="2"/>
      <c r="D67" s="2"/>
      <c r="E67" s="2"/>
      <c r="F67" s="2"/>
      <c r="G67" s="2"/>
      <c r="H67" s="2"/>
      <c r="I67" s="2"/>
      <c r="J67" s="2"/>
      <c r="K67" s="2"/>
      <c r="L67" s="2"/>
      <c r="M67" s="2"/>
    </row>
    <row r="68" spans="1:13">
      <c r="A68" s="3"/>
      <c r="B68" s="2">
        <v>65</v>
      </c>
      <c r="C68" s="2"/>
      <c r="D68" s="2"/>
      <c r="E68" s="2"/>
      <c r="F68" s="2"/>
      <c r="G68" s="2"/>
      <c r="H68" s="2"/>
      <c r="I68" s="2"/>
      <c r="J68" s="2"/>
      <c r="K68" s="2"/>
      <c r="L68" s="2"/>
      <c r="M68" s="2"/>
    </row>
    <row r="69" spans="1:13">
      <c r="A69" s="3"/>
      <c r="B69" s="2">
        <v>66</v>
      </c>
      <c r="C69" s="2"/>
      <c r="D69" s="2"/>
      <c r="E69" s="2"/>
      <c r="F69" s="2"/>
      <c r="G69" s="2"/>
      <c r="H69" s="2"/>
      <c r="I69" s="2"/>
      <c r="J69" s="2"/>
      <c r="K69" s="2"/>
      <c r="L69" s="2"/>
      <c r="M69" s="2"/>
    </row>
    <row r="70" spans="1:13">
      <c r="A70" s="3"/>
      <c r="B70" s="2">
        <v>67</v>
      </c>
      <c r="C70" s="2"/>
      <c r="D70" s="2"/>
      <c r="E70" s="2"/>
      <c r="F70" s="2"/>
      <c r="G70" s="2"/>
      <c r="H70" s="2"/>
      <c r="I70" s="2"/>
      <c r="J70" s="2"/>
      <c r="K70" s="2"/>
      <c r="L70" s="2"/>
      <c r="M70" s="2"/>
    </row>
    <row r="71" spans="1:13">
      <c r="A71" s="3"/>
      <c r="B71" s="2">
        <v>68</v>
      </c>
      <c r="C71" s="2"/>
      <c r="D71" s="2"/>
      <c r="E71" s="2"/>
      <c r="F71" s="2"/>
      <c r="G71" s="2"/>
      <c r="H71" s="2"/>
      <c r="I71" s="2"/>
      <c r="J71" s="2"/>
      <c r="K71" s="2"/>
      <c r="L71" s="2"/>
      <c r="M71" s="2"/>
    </row>
    <row r="72" spans="1:13">
      <c r="A72" s="3"/>
      <c r="B72" s="2">
        <v>69</v>
      </c>
      <c r="C72" s="2"/>
      <c r="D72" s="2"/>
      <c r="E72" s="2"/>
      <c r="F72" s="2"/>
      <c r="G72" s="2"/>
      <c r="H72" s="2"/>
      <c r="I72" s="2"/>
      <c r="J72" s="2"/>
      <c r="K72" s="2"/>
      <c r="L72" s="2"/>
      <c r="M72" s="2"/>
    </row>
    <row r="73" spans="1:13">
      <c r="A73" s="3"/>
      <c r="B73" s="2">
        <v>70</v>
      </c>
      <c r="C73" s="2"/>
      <c r="D73" s="2"/>
      <c r="E73" s="2"/>
      <c r="F73" s="2"/>
      <c r="G73" s="2"/>
      <c r="H73" s="2"/>
      <c r="I73" s="2"/>
      <c r="J73" s="2"/>
      <c r="K73" s="2"/>
      <c r="L73" s="2"/>
      <c r="M73" s="2"/>
    </row>
    <row r="74" spans="1:13">
      <c r="A74" s="3"/>
      <c r="B74" s="2">
        <v>71</v>
      </c>
      <c r="C74" s="2"/>
      <c r="D74" s="2"/>
      <c r="E74" s="2"/>
      <c r="F74" s="2"/>
      <c r="G74" s="2"/>
      <c r="H74" s="2"/>
      <c r="I74" s="2"/>
      <c r="J74" s="2"/>
      <c r="K74" s="2"/>
      <c r="L74" s="2"/>
      <c r="M74" s="2"/>
    </row>
    <row r="75" spans="1:13">
      <c r="A75" s="3"/>
      <c r="B75" s="2">
        <v>72</v>
      </c>
      <c r="C75" s="2"/>
      <c r="D75" s="2"/>
      <c r="E75" s="2"/>
      <c r="F75" s="2"/>
      <c r="G75" s="2"/>
      <c r="H75" s="2"/>
      <c r="I75" s="2"/>
      <c r="J75" s="2"/>
      <c r="K75" s="2"/>
      <c r="L75" s="2"/>
      <c r="M75" s="2"/>
    </row>
    <row r="76" spans="1:13">
      <c r="A76" s="3"/>
      <c r="B76" s="2">
        <v>73</v>
      </c>
      <c r="C76" s="2"/>
      <c r="D76" s="2"/>
      <c r="E76" s="2"/>
      <c r="F76" s="2"/>
      <c r="G76" s="2"/>
      <c r="H76" s="2"/>
      <c r="I76" s="2"/>
      <c r="J76" s="2"/>
      <c r="K76" s="2"/>
      <c r="L76" s="2"/>
      <c r="M76" s="2"/>
    </row>
    <row r="77" spans="1:13">
      <c r="A77" s="3"/>
      <c r="B77" s="2">
        <v>74</v>
      </c>
      <c r="C77" s="2"/>
      <c r="D77" s="2"/>
      <c r="E77" s="2"/>
      <c r="F77" s="2"/>
      <c r="G77" s="2"/>
      <c r="H77" s="2"/>
      <c r="I77" s="2"/>
      <c r="J77" s="2"/>
      <c r="K77" s="2"/>
      <c r="L77" s="2"/>
      <c r="M77" s="2"/>
    </row>
    <row r="78" spans="1:13">
      <c r="A78" s="3"/>
      <c r="B78" s="2">
        <v>75</v>
      </c>
      <c r="C78" s="2"/>
      <c r="D78" s="2"/>
      <c r="E78" s="2"/>
      <c r="F78" s="2"/>
      <c r="G78" s="2"/>
      <c r="H78" s="2"/>
      <c r="I78" s="2"/>
      <c r="J78" s="2"/>
      <c r="K78" s="2"/>
      <c r="L78" s="2"/>
      <c r="M78" s="2"/>
    </row>
    <row r="79" spans="1:13">
      <c r="A79" s="3"/>
      <c r="B79" s="2">
        <v>76</v>
      </c>
      <c r="C79" s="2"/>
      <c r="D79" s="2"/>
      <c r="E79" s="2"/>
      <c r="F79" s="2"/>
      <c r="G79" s="2"/>
      <c r="H79" s="2"/>
      <c r="I79" s="2"/>
      <c r="J79" s="2"/>
      <c r="K79" s="2"/>
      <c r="L79" s="2"/>
      <c r="M79" s="2"/>
    </row>
    <row r="80" spans="1:13">
      <c r="A80" s="3"/>
      <c r="B80" s="2">
        <v>77</v>
      </c>
      <c r="C80" s="2"/>
      <c r="D80" s="2"/>
      <c r="E80" s="2"/>
      <c r="F80" s="2"/>
      <c r="G80" s="2"/>
      <c r="H80" s="2"/>
      <c r="I80" s="2"/>
      <c r="J80" s="2"/>
      <c r="K80" s="2"/>
      <c r="L80" s="2"/>
      <c r="M80" s="2"/>
    </row>
    <row r="81" spans="1:13">
      <c r="A81" s="3"/>
      <c r="B81" s="2">
        <v>78</v>
      </c>
      <c r="C81" s="2"/>
      <c r="D81" s="2"/>
      <c r="E81" s="2"/>
      <c r="F81" s="2"/>
      <c r="G81" s="2"/>
      <c r="H81" s="2"/>
      <c r="I81" s="2"/>
      <c r="J81" s="2"/>
      <c r="K81" s="2"/>
      <c r="L81" s="2"/>
      <c r="M81" s="2"/>
    </row>
    <row r="82" spans="1:13">
      <c r="A82" s="3"/>
      <c r="B82" s="2">
        <v>79</v>
      </c>
      <c r="C82" s="2"/>
      <c r="D82" s="2"/>
      <c r="E82" s="2"/>
      <c r="F82" s="2"/>
      <c r="G82" s="2"/>
      <c r="H82" s="2"/>
      <c r="I82" s="2"/>
      <c r="J82" s="2"/>
      <c r="K82" s="2"/>
      <c r="L82" s="2"/>
      <c r="M82" s="2"/>
    </row>
    <row r="83" spans="1:13">
      <c r="A83" s="3"/>
      <c r="B83" s="2">
        <v>80</v>
      </c>
      <c r="C83" s="2"/>
      <c r="D83" s="2"/>
      <c r="E83" s="2"/>
      <c r="F83" s="2"/>
      <c r="G83" s="2"/>
      <c r="H83" s="2"/>
      <c r="I83" s="2"/>
      <c r="J83" s="2"/>
      <c r="K83" s="2"/>
      <c r="L83" s="2"/>
      <c r="M83" s="2"/>
    </row>
    <row r="84" spans="1:13">
      <c r="A84" s="3"/>
      <c r="B84" s="2">
        <v>81</v>
      </c>
      <c r="C84" s="2"/>
      <c r="D84" s="2"/>
      <c r="E84" s="2"/>
      <c r="F84" s="2"/>
      <c r="G84" s="2"/>
      <c r="H84" s="2"/>
      <c r="I84" s="2"/>
      <c r="J84" s="2"/>
      <c r="K84" s="2"/>
      <c r="L84" s="2"/>
      <c r="M84" s="2"/>
    </row>
    <row r="85" spans="1:13">
      <c r="A85" s="3"/>
      <c r="B85" s="2">
        <v>82</v>
      </c>
      <c r="C85" s="2"/>
      <c r="D85" s="2"/>
      <c r="E85" s="2"/>
      <c r="F85" s="2"/>
      <c r="G85" s="2"/>
      <c r="H85" s="2"/>
      <c r="I85" s="2"/>
      <c r="J85" s="2"/>
      <c r="K85" s="2"/>
      <c r="L85" s="2"/>
      <c r="M85" s="2"/>
    </row>
    <row r="86" spans="1:13">
      <c r="A86" s="3"/>
      <c r="B86" s="2">
        <v>83</v>
      </c>
      <c r="C86" s="2"/>
      <c r="D86" s="2"/>
      <c r="E86" s="2"/>
      <c r="F86" s="2"/>
      <c r="G86" s="2"/>
      <c r="H86" s="2"/>
      <c r="I86" s="2"/>
      <c r="J86" s="2"/>
      <c r="K86" s="2"/>
      <c r="L86" s="2"/>
      <c r="M86" s="2"/>
    </row>
    <row r="87" spans="1:13">
      <c r="A87" s="3"/>
      <c r="B87" s="2">
        <v>84</v>
      </c>
      <c r="C87" s="2"/>
      <c r="D87" s="2"/>
      <c r="E87" s="2"/>
      <c r="F87" s="2"/>
      <c r="G87" s="2"/>
      <c r="H87" s="2"/>
      <c r="I87" s="2"/>
      <c r="J87" s="2"/>
      <c r="K87" s="2"/>
      <c r="L87" s="2"/>
      <c r="M87" s="2"/>
    </row>
    <row r="88" spans="1:13">
      <c r="A88" s="3"/>
      <c r="B88" s="2">
        <v>85</v>
      </c>
      <c r="C88" s="2"/>
      <c r="D88" s="2"/>
      <c r="E88" s="2"/>
      <c r="F88" s="2"/>
      <c r="G88" s="2"/>
      <c r="H88" s="2"/>
      <c r="I88" s="2"/>
      <c r="J88" s="2"/>
      <c r="K88" s="2"/>
      <c r="L88" s="2"/>
      <c r="M88" s="2"/>
    </row>
    <row r="89" spans="1:13">
      <c r="A89" s="3"/>
      <c r="B89" s="2">
        <v>86</v>
      </c>
      <c r="C89" s="2"/>
      <c r="D89" s="2"/>
      <c r="E89" s="2"/>
      <c r="F89" s="2"/>
      <c r="G89" s="2"/>
      <c r="H89" s="2"/>
      <c r="I89" s="2"/>
      <c r="J89" s="2"/>
      <c r="K89" s="2"/>
      <c r="L89" s="2"/>
      <c r="M89" s="2"/>
    </row>
    <row r="90" spans="1:13">
      <c r="A90" s="3"/>
      <c r="B90" s="2">
        <v>87</v>
      </c>
      <c r="C90" s="2"/>
      <c r="D90" s="2"/>
      <c r="E90" s="2"/>
      <c r="F90" s="2"/>
      <c r="G90" s="2"/>
      <c r="H90" s="2"/>
      <c r="I90" s="2"/>
      <c r="J90" s="2"/>
      <c r="K90" s="2"/>
      <c r="L90" s="2"/>
      <c r="M90" s="2"/>
    </row>
    <row r="91" spans="1:13">
      <c r="A91" s="3"/>
      <c r="B91" s="2">
        <v>88</v>
      </c>
      <c r="C91" s="2"/>
      <c r="D91" s="2"/>
      <c r="E91" s="2"/>
      <c r="F91" s="2"/>
      <c r="G91" s="2"/>
      <c r="H91" s="2"/>
      <c r="I91" s="2"/>
      <c r="J91" s="2"/>
      <c r="K91" s="2"/>
      <c r="L91" s="2"/>
      <c r="M91" s="2"/>
    </row>
    <row r="92" spans="1:13">
      <c r="A92" s="3"/>
      <c r="B92" s="2">
        <v>89</v>
      </c>
      <c r="C92" s="2"/>
      <c r="D92" s="2"/>
      <c r="E92" s="2"/>
      <c r="F92" s="2"/>
      <c r="G92" s="2"/>
      <c r="H92" s="2"/>
      <c r="I92" s="2"/>
      <c r="J92" s="2"/>
      <c r="K92" s="2"/>
      <c r="L92" s="2"/>
      <c r="M92" s="2"/>
    </row>
    <row r="93" spans="1:13">
      <c r="A93" s="3"/>
      <c r="B93" s="2">
        <v>90</v>
      </c>
      <c r="C93" s="2"/>
      <c r="D93" s="2"/>
      <c r="E93" s="2"/>
      <c r="F93" s="2"/>
      <c r="G93" s="2"/>
      <c r="H93" s="2"/>
      <c r="I93" s="2"/>
      <c r="J93" s="2"/>
      <c r="K93" s="2"/>
      <c r="L93" s="2"/>
      <c r="M93" s="2"/>
    </row>
    <row r="94" spans="1:13">
      <c r="A94" s="3"/>
      <c r="B94" s="2">
        <v>91</v>
      </c>
      <c r="C94" s="2"/>
      <c r="D94" s="2"/>
      <c r="E94" s="2"/>
      <c r="F94" s="2"/>
      <c r="G94" s="2"/>
      <c r="H94" s="2"/>
      <c r="I94" s="2"/>
      <c r="J94" s="2"/>
      <c r="K94" s="2"/>
      <c r="L94" s="2"/>
      <c r="M94" s="2"/>
    </row>
    <row r="95" spans="1:13">
      <c r="A95" s="3"/>
      <c r="B95" s="2">
        <v>92</v>
      </c>
      <c r="C95" s="2"/>
      <c r="D95" s="2"/>
      <c r="E95" s="2"/>
      <c r="F95" s="2"/>
      <c r="G95" s="2"/>
      <c r="H95" s="2"/>
      <c r="I95" s="2"/>
      <c r="J95" s="2"/>
      <c r="K95" s="2"/>
      <c r="L95" s="2"/>
      <c r="M95" s="2"/>
    </row>
    <row r="96" spans="1:13">
      <c r="A96" s="3"/>
      <c r="B96" s="2">
        <v>93</v>
      </c>
      <c r="C96" s="2"/>
      <c r="D96" s="2"/>
      <c r="E96" s="2"/>
      <c r="F96" s="2"/>
      <c r="G96" s="2"/>
      <c r="H96" s="2"/>
      <c r="I96" s="2"/>
      <c r="J96" s="2"/>
      <c r="K96" s="2"/>
      <c r="L96" s="2"/>
      <c r="M96" s="2"/>
    </row>
    <row r="97" spans="1:13">
      <c r="A97" s="3"/>
      <c r="B97" s="2">
        <v>94</v>
      </c>
      <c r="C97" s="2"/>
      <c r="D97" s="2"/>
      <c r="E97" s="2"/>
      <c r="F97" s="2"/>
      <c r="G97" s="2"/>
      <c r="H97" s="2"/>
      <c r="I97" s="2"/>
      <c r="J97" s="2"/>
      <c r="K97" s="2"/>
      <c r="L97" s="2"/>
      <c r="M97" s="2"/>
    </row>
    <row r="98" spans="1:13">
      <c r="A98" s="3"/>
      <c r="B98" s="2">
        <v>95</v>
      </c>
      <c r="C98" s="2"/>
      <c r="D98" s="2"/>
      <c r="E98" s="2"/>
      <c r="F98" s="2"/>
      <c r="G98" s="2"/>
      <c r="H98" s="2"/>
      <c r="I98" s="2"/>
      <c r="J98" s="2"/>
      <c r="K98" s="2"/>
      <c r="L98" s="2"/>
      <c r="M98" s="2"/>
    </row>
    <row r="99" spans="1:13">
      <c r="A99" s="3"/>
      <c r="B99" s="2">
        <v>96</v>
      </c>
      <c r="C99" s="2"/>
      <c r="D99" s="2"/>
      <c r="E99" s="2"/>
      <c r="F99" s="2"/>
      <c r="G99" s="2"/>
      <c r="H99" s="2"/>
      <c r="I99" s="2"/>
      <c r="J99" s="2"/>
      <c r="K99" s="2"/>
      <c r="L99" s="2"/>
      <c r="M99" s="2"/>
    </row>
    <row r="100" spans="1:13">
      <c r="A100" s="3"/>
      <c r="B100" s="2">
        <v>97</v>
      </c>
      <c r="C100" s="2"/>
      <c r="D100" s="2"/>
      <c r="E100" s="2"/>
      <c r="F100" s="2"/>
      <c r="G100" s="2"/>
      <c r="H100" s="2"/>
      <c r="I100" s="2"/>
      <c r="J100" s="2"/>
      <c r="K100" s="2"/>
      <c r="L100" s="2"/>
      <c r="M100" s="2"/>
    </row>
    <row r="101" spans="1:13">
      <c r="A101" s="3"/>
      <c r="B101" s="2">
        <v>98</v>
      </c>
      <c r="C101" s="2"/>
      <c r="D101" s="2"/>
      <c r="E101" s="2"/>
      <c r="F101" s="2"/>
      <c r="G101" s="2"/>
      <c r="H101" s="2"/>
      <c r="I101" s="2"/>
      <c r="J101" s="2"/>
      <c r="K101" s="2"/>
      <c r="L101" s="2"/>
      <c r="M101" s="2"/>
    </row>
    <row r="102" spans="1:13">
      <c r="A102" s="3"/>
      <c r="B102" s="2">
        <v>99</v>
      </c>
      <c r="C102" s="2"/>
      <c r="D102" s="2"/>
      <c r="E102" s="2"/>
      <c r="F102" s="2"/>
      <c r="G102" s="2"/>
      <c r="H102" s="2"/>
      <c r="I102" s="2"/>
      <c r="J102" s="2"/>
      <c r="K102" s="2"/>
      <c r="L102" s="2"/>
      <c r="M102" s="2"/>
    </row>
    <row r="103" spans="1:13">
      <c r="A103" s="3"/>
      <c r="B103" s="2">
        <v>100</v>
      </c>
      <c r="C103" s="2"/>
      <c r="D103" s="2"/>
      <c r="E103" s="2"/>
      <c r="F103" s="2"/>
      <c r="G103" s="2"/>
      <c r="H103" s="2"/>
      <c r="I103" s="2"/>
      <c r="J103" s="2"/>
      <c r="K103" s="2"/>
      <c r="L103" s="2"/>
      <c r="M103" s="2"/>
    </row>
    <row r="104" spans="1:13">
      <c r="A104" s="3"/>
      <c r="B104" s="2">
        <v>101</v>
      </c>
      <c r="C104" s="2"/>
      <c r="D104" s="2"/>
      <c r="E104" s="2"/>
      <c r="F104" s="2"/>
      <c r="G104" s="2"/>
      <c r="H104" s="2"/>
      <c r="I104" s="2"/>
      <c r="J104" s="2"/>
      <c r="K104" s="2"/>
      <c r="L104" s="2"/>
      <c r="M104" s="2"/>
    </row>
    <row r="105" spans="1:13">
      <c r="A105" s="3"/>
      <c r="B105" s="2">
        <v>102</v>
      </c>
      <c r="C105" s="2"/>
      <c r="D105" s="2"/>
      <c r="E105" s="2"/>
      <c r="F105" s="2"/>
      <c r="G105" s="2"/>
      <c r="H105" s="2"/>
      <c r="I105" s="2"/>
      <c r="J105" s="2"/>
      <c r="K105" s="2"/>
      <c r="L105" s="2"/>
      <c r="M105" s="2"/>
    </row>
    <row r="106" spans="1:13">
      <c r="A106" s="3"/>
      <c r="B106" s="2">
        <v>103</v>
      </c>
      <c r="C106" s="2"/>
      <c r="D106" s="2"/>
      <c r="E106" s="2"/>
      <c r="F106" s="2"/>
      <c r="G106" s="2"/>
      <c r="H106" s="2"/>
      <c r="I106" s="2"/>
      <c r="J106" s="2"/>
      <c r="K106" s="2"/>
      <c r="L106" s="2"/>
      <c r="M106" s="2"/>
    </row>
    <row r="107" spans="1:13">
      <c r="A107" s="3"/>
      <c r="B107" s="2">
        <v>104</v>
      </c>
      <c r="C107" s="2"/>
      <c r="D107" s="2"/>
      <c r="E107" s="2"/>
      <c r="F107" s="2"/>
      <c r="G107" s="2"/>
      <c r="H107" s="2"/>
      <c r="I107" s="2"/>
      <c r="J107" s="2"/>
      <c r="K107" s="2"/>
      <c r="L107" s="2"/>
      <c r="M107" s="2"/>
    </row>
    <row r="108" spans="1:13">
      <c r="A108" s="3"/>
      <c r="B108" s="2">
        <v>105</v>
      </c>
      <c r="C108" s="2"/>
      <c r="D108" s="2"/>
      <c r="E108" s="2"/>
      <c r="F108" s="2"/>
      <c r="G108" s="2"/>
      <c r="H108" s="2"/>
      <c r="I108" s="2"/>
      <c r="J108" s="2"/>
      <c r="K108" s="2"/>
      <c r="L108" s="2"/>
      <c r="M108" s="2"/>
    </row>
    <row r="109" spans="1:13">
      <c r="A109" s="3"/>
      <c r="B109" s="2">
        <v>106</v>
      </c>
      <c r="C109" s="2"/>
      <c r="D109" s="2"/>
      <c r="E109" s="2"/>
      <c r="F109" s="2"/>
      <c r="G109" s="2"/>
      <c r="H109" s="2"/>
      <c r="I109" s="2"/>
      <c r="J109" s="2"/>
      <c r="K109" s="2"/>
      <c r="L109" s="2"/>
      <c r="M109" s="2"/>
    </row>
    <row r="110" spans="1:13">
      <c r="A110" s="3"/>
      <c r="B110" s="2">
        <v>107</v>
      </c>
      <c r="C110" s="2"/>
      <c r="D110" s="2"/>
      <c r="E110" s="2"/>
      <c r="F110" s="2"/>
      <c r="G110" s="2"/>
      <c r="H110" s="2"/>
      <c r="I110" s="2"/>
      <c r="J110" s="2"/>
      <c r="K110" s="2"/>
      <c r="L110" s="2"/>
      <c r="M110" s="2"/>
    </row>
    <row r="111" spans="1:13">
      <c r="A111" s="3"/>
      <c r="B111" s="2">
        <v>108</v>
      </c>
      <c r="C111" s="2"/>
      <c r="D111" s="2"/>
      <c r="E111" s="2"/>
      <c r="F111" s="2"/>
      <c r="G111" s="2"/>
      <c r="H111" s="2"/>
      <c r="I111" s="2"/>
      <c r="J111" s="2"/>
      <c r="K111" s="2"/>
      <c r="L111" s="2"/>
      <c r="M111" s="2"/>
    </row>
    <row r="112" spans="1:13">
      <c r="A112" s="3"/>
      <c r="B112" s="2">
        <v>109</v>
      </c>
      <c r="C112" s="2"/>
      <c r="D112" s="2"/>
      <c r="E112" s="2"/>
      <c r="F112" s="2"/>
      <c r="G112" s="2"/>
      <c r="H112" s="2"/>
      <c r="I112" s="2"/>
      <c r="J112" s="2"/>
      <c r="K112" s="2"/>
      <c r="L112" s="2"/>
      <c r="M112" s="2"/>
    </row>
    <row r="113" spans="1:13">
      <c r="A113" s="3"/>
      <c r="B113" s="2">
        <v>110</v>
      </c>
      <c r="C113" s="2"/>
      <c r="D113" s="2"/>
      <c r="E113" s="2"/>
      <c r="F113" s="2"/>
      <c r="G113" s="2"/>
      <c r="H113" s="2"/>
      <c r="I113" s="2"/>
      <c r="J113" s="2"/>
      <c r="K113" s="2"/>
      <c r="L113" s="2"/>
      <c r="M113" s="2"/>
    </row>
    <row r="114" spans="1:13">
      <c r="A114" s="3"/>
      <c r="B114" s="2">
        <v>111</v>
      </c>
      <c r="C114" s="2"/>
      <c r="D114" s="2"/>
      <c r="E114" s="2"/>
      <c r="F114" s="2"/>
      <c r="G114" s="2"/>
      <c r="H114" s="2"/>
      <c r="I114" s="2"/>
      <c r="J114" s="2"/>
      <c r="K114" s="2"/>
      <c r="L114" s="2"/>
      <c r="M114" s="2"/>
    </row>
    <row r="115" spans="1:13">
      <c r="A115" s="3"/>
      <c r="B115" s="2">
        <v>112</v>
      </c>
      <c r="C115" s="2"/>
      <c r="D115" s="2"/>
      <c r="E115" s="2"/>
      <c r="F115" s="2"/>
      <c r="G115" s="2"/>
      <c r="H115" s="2"/>
      <c r="I115" s="2"/>
      <c r="J115" s="2"/>
      <c r="K115" s="2"/>
      <c r="L115" s="2"/>
      <c r="M115" s="2"/>
    </row>
    <row r="116" spans="1:13">
      <c r="A116" s="3"/>
      <c r="B116" s="2">
        <v>113</v>
      </c>
      <c r="C116" s="2"/>
      <c r="D116" s="2"/>
      <c r="E116" s="2"/>
      <c r="F116" s="2"/>
      <c r="G116" s="2"/>
      <c r="H116" s="2"/>
      <c r="I116" s="2"/>
      <c r="J116" s="2"/>
      <c r="K116" s="2"/>
      <c r="L116" s="2"/>
      <c r="M116" s="2"/>
    </row>
    <row r="117" spans="1:13">
      <c r="A117" s="3"/>
      <c r="B117" s="2">
        <v>114</v>
      </c>
      <c r="C117" s="2"/>
      <c r="D117" s="2"/>
      <c r="E117" s="2"/>
      <c r="F117" s="2"/>
      <c r="G117" s="2"/>
      <c r="H117" s="2"/>
      <c r="I117" s="2"/>
      <c r="J117" s="2"/>
      <c r="K117" s="2"/>
      <c r="L117" s="2"/>
      <c r="M117" s="2"/>
    </row>
    <row r="118" spans="1:13">
      <c r="A118" s="3"/>
      <c r="B118" s="2">
        <v>115</v>
      </c>
      <c r="C118" s="2"/>
      <c r="D118" s="2"/>
      <c r="E118" s="2"/>
      <c r="F118" s="2"/>
      <c r="G118" s="2"/>
      <c r="H118" s="2"/>
      <c r="I118" s="2"/>
      <c r="J118" s="2"/>
      <c r="K118" s="2"/>
      <c r="L118" s="2"/>
      <c r="M118" s="2"/>
    </row>
    <row r="119" spans="1:13">
      <c r="A119" s="3"/>
      <c r="B119" s="2">
        <v>116</v>
      </c>
      <c r="C119" s="2"/>
      <c r="D119" s="2"/>
      <c r="E119" s="2"/>
      <c r="F119" s="2"/>
      <c r="G119" s="2"/>
      <c r="H119" s="2"/>
      <c r="I119" s="2"/>
      <c r="J119" s="2"/>
      <c r="K119" s="2"/>
      <c r="L119" s="2"/>
      <c r="M119" s="2"/>
    </row>
    <row r="120" spans="1:13">
      <c r="A120" s="3"/>
      <c r="B120" s="2">
        <v>117</v>
      </c>
      <c r="C120" s="2"/>
      <c r="D120" s="2"/>
      <c r="E120" s="2"/>
      <c r="F120" s="2"/>
      <c r="G120" s="2"/>
      <c r="H120" s="2"/>
      <c r="I120" s="2"/>
      <c r="J120" s="2"/>
      <c r="K120" s="2"/>
      <c r="L120" s="2"/>
      <c r="M120" s="2"/>
    </row>
    <row r="121" spans="1:13">
      <c r="A121" s="3"/>
      <c r="B121" s="2">
        <v>118</v>
      </c>
      <c r="C121" s="2"/>
      <c r="D121" s="2"/>
      <c r="E121" s="2"/>
      <c r="F121" s="2"/>
      <c r="G121" s="2"/>
      <c r="H121" s="2"/>
      <c r="I121" s="2"/>
      <c r="J121" s="2"/>
      <c r="K121" s="2"/>
      <c r="L121" s="2"/>
      <c r="M121" s="2"/>
    </row>
    <row r="122" spans="1:13">
      <c r="A122" s="3"/>
      <c r="B122" s="2">
        <v>119</v>
      </c>
      <c r="C122" s="2"/>
      <c r="D122" s="2"/>
      <c r="E122" s="2"/>
      <c r="F122" s="2"/>
      <c r="G122" s="2"/>
      <c r="H122" s="2"/>
      <c r="I122" s="2"/>
      <c r="J122" s="2"/>
      <c r="K122" s="2"/>
      <c r="L122" s="2"/>
      <c r="M122" s="2"/>
    </row>
    <row r="123" spans="1:13">
      <c r="A123" s="3"/>
      <c r="B123" s="2">
        <v>120</v>
      </c>
      <c r="C123" s="2"/>
      <c r="D123" s="2"/>
      <c r="E123" s="2"/>
      <c r="F123" s="2"/>
      <c r="G123" s="2"/>
      <c r="H123" s="2"/>
      <c r="I123" s="2"/>
      <c r="J123" s="2"/>
      <c r="K123" s="2"/>
      <c r="L123" s="2"/>
      <c r="M123" s="2"/>
    </row>
  </sheetData>
  <mergeCells count="1">
    <mergeCell ref="B1:C1"/>
  </mergeCells>
  <conditionalFormatting sqref="B4:M123">
    <cfRule type="expression" dxfId="24" priority="1">
      <formula>AND(B$3&lt;&gt;"-",LEN(B4)&gt;B$3)</formula>
    </cfRule>
    <cfRule type="expression" dxfId="23" priority="2">
      <formula>ISERROR(B$2)</formula>
    </cfRule>
    <cfRule type="expression" dxfId="22" priority="3">
      <formula>AND(B$3&lt;&gt;"-",LEN(B4)&gt;B$3)</formula>
    </cfRule>
    <cfRule type="expression" dxfId="21" priority="4">
      <formula>ISERROR(B$2)</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Feuil14">
    <tabColor rgb="FF00B050"/>
  </sheetPr>
  <dimension ref="A1:R123"/>
  <sheetViews>
    <sheetView zoomScale="85" zoomScaleNormal="85" workbookViewId="0">
      <pane ySplit="3" topLeftCell="A100" activePane="bottomLeft" state="frozen"/>
      <selection activeCell="G20" sqref="G20"/>
      <selection pane="bottomLeft" activeCell="C110" sqref="C110"/>
    </sheetView>
  </sheetViews>
  <sheetFormatPr baseColWidth="10" defaultRowHeight="15"/>
  <cols>
    <col min="2" max="5" width="14.7109375" customWidth="1"/>
    <col min="6" max="11" width="14.7109375" hidden="1" customWidth="1"/>
    <col min="12" max="12" width="0" hidden="1" customWidth="1"/>
  </cols>
  <sheetData>
    <row r="1" spans="1:18" ht="15.75" thickBot="1">
      <c r="A1" s="1" t="s">
        <v>7</v>
      </c>
      <c r="B1" s="29" t="s">
        <v>287</v>
      </c>
      <c r="C1" s="30"/>
      <c r="D1" s="12"/>
      <c r="E1" s="13"/>
      <c r="F1" s="13"/>
      <c r="G1" s="13"/>
      <c r="H1" s="13"/>
      <c r="I1" s="13"/>
      <c r="J1" s="13"/>
      <c r="K1" s="13"/>
      <c r="L1" s="13"/>
      <c r="M1" s="14"/>
    </row>
    <row r="2" spans="1:18" s="6" customFormat="1" ht="24.75" customHeight="1">
      <c r="A2" s="4" t="s">
        <v>5</v>
      </c>
      <c r="B2" s="5" t="str">
        <f t="array" ref="B2:M2">VLOOKUP($B$1&amp;(COLUMN()-1),SQL_Definition[],4,FALSE)</f>
        <v>ID_MenuCateItem</v>
      </c>
      <c r="C2" s="5" t="str">
        <v>Id_MenuCate</v>
      </c>
      <c r="D2" s="11" t="str">
        <v>Id_MenuItem</v>
      </c>
      <c r="E2" s="11" t="e">
        <v>#N/A</v>
      </c>
      <c r="F2" s="11" t="e">
        <v>#N/A</v>
      </c>
      <c r="G2" s="11" t="e">
        <v>#N/A</v>
      </c>
      <c r="H2" s="11" t="e">
        <v>#N/A</v>
      </c>
      <c r="I2" s="11" t="e">
        <v>#N/A</v>
      </c>
      <c r="J2" s="11" t="e">
        <v>#N/A</v>
      </c>
      <c r="K2" s="5" t="e">
        <v>#N/A</v>
      </c>
      <c r="L2" s="5" t="e">
        <v>#N/A</v>
      </c>
      <c r="M2" s="5" t="e">
        <v>#N/A</v>
      </c>
      <c r="O2" s="20" t="s">
        <v>705</v>
      </c>
      <c r="P2" s="20" t="s">
        <v>706</v>
      </c>
      <c r="Q2" s="20" t="s">
        <v>707</v>
      </c>
      <c r="R2" s="20" t="s">
        <v>708</v>
      </c>
    </row>
    <row r="3" spans="1:18" s="6" customFormat="1">
      <c r="A3" s="4" t="s">
        <v>9</v>
      </c>
      <c r="B3" s="5">
        <f t="array" ref="B3:M3">VLOOKUP($B$1&amp;(COLUMN()-1),SQL_Definition[],6,FALSE)</f>
        <v>4</v>
      </c>
      <c r="C3" s="5">
        <v>4</v>
      </c>
      <c r="D3" s="5">
        <v>4</v>
      </c>
      <c r="E3" s="5" t="e">
        <v>#N/A</v>
      </c>
      <c r="F3" s="5" t="e">
        <v>#N/A</v>
      </c>
      <c r="G3" s="5" t="e">
        <v>#N/A</v>
      </c>
      <c r="H3" s="5" t="e">
        <v>#N/A</v>
      </c>
      <c r="I3" s="5" t="e">
        <v>#N/A</v>
      </c>
      <c r="J3" s="5" t="e">
        <v>#N/A</v>
      </c>
      <c r="K3" s="5" t="e">
        <v>#N/A</v>
      </c>
      <c r="L3" s="5" t="e">
        <v>#N/A</v>
      </c>
      <c r="M3" s="5" t="e">
        <v>#N/A</v>
      </c>
      <c r="O3" s="25" t="s">
        <v>709</v>
      </c>
      <c r="P3" s="25"/>
      <c r="Q3" s="25" t="s">
        <v>710</v>
      </c>
      <c r="R3" s="25"/>
    </row>
    <row r="4" spans="1:18">
      <c r="A4" s="3"/>
      <c r="B4" s="2">
        <v>1</v>
      </c>
      <c r="C4" s="2">
        <v>1</v>
      </c>
      <c r="D4" s="2">
        <v>1</v>
      </c>
      <c r="E4" s="2"/>
      <c r="F4" s="2"/>
      <c r="G4" s="2"/>
      <c r="H4" s="2"/>
      <c r="I4" s="2"/>
      <c r="J4" s="2"/>
      <c r="K4" s="2"/>
      <c r="L4" s="2"/>
      <c r="M4" s="2"/>
      <c r="O4" s="2" t="s">
        <v>411</v>
      </c>
      <c r="P4" s="2" t="s">
        <v>448</v>
      </c>
      <c r="Q4" s="2">
        <f>MATCH($O4,Phobida_MenuCate!$C$4:$C$31,0)</f>
        <v>1</v>
      </c>
      <c r="R4" s="2">
        <f>MATCH($P4,Phobida_MenuItem!$C$4:$C$111,0)</f>
        <v>1</v>
      </c>
    </row>
    <row r="5" spans="1:18">
      <c r="A5" s="3"/>
      <c r="B5" s="2">
        <v>2</v>
      </c>
      <c r="C5" s="2">
        <v>1</v>
      </c>
      <c r="D5" s="2">
        <v>2</v>
      </c>
      <c r="E5" s="2"/>
      <c r="F5" s="2"/>
      <c r="G5" s="2"/>
      <c r="H5" s="2"/>
      <c r="I5" s="2"/>
      <c r="J5" s="2"/>
      <c r="K5" s="2"/>
      <c r="L5" s="2"/>
      <c r="M5" s="2"/>
      <c r="O5" s="2" t="s">
        <v>411</v>
      </c>
      <c r="P5" s="2" t="s">
        <v>452</v>
      </c>
      <c r="Q5" s="2">
        <f>MATCH($O5,Phobida_MenuCate!$C$4:$C$31,0)</f>
        <v>1</v>
      </c>
      <c r="R5" s="2">
        <f>MATCH($P5,Phobida_MenuItem!$C$4:$C$111,0)</f>
        <v>2</v>
      </c>
    </row>
    <row r="6" spans="1:18">
      <c r="A6" s="3"/>
      <c r="B6" s="2">
        <v>3</v>
      </c>
      <c r="C6" s="2">
        <v>1</v>
      </c>
      <c r="D6" s="2">
        <v>3</v>
      </c>
      <c r="E6" s="2"/>
      <c r="F6" s="2"/>
      <c r="G6" s="2"/>
      <c r="H6" s="2"/>
      <c r="I6" s="2"/>
      <c r="J6" s="2"/>
      <c r="K6" s="2"/>
      <c r="L6" s="2"/>
      <c r="M6" s="2"/>
      <c r="O6" s="2" t="s">
        <v>411</v>
      </c>
      <c r="P6" s="2" t="s">
        <v>455</v>
      </c>
      <c r="Q6" s="2">
        <f>MATCH($O6,Phobida_MenuCate!$C$4:$C$31,0)</f>
        <v>1</v>
      </c>
      <c r="R6" s="2">
        <f>MATCH($P6,Phobida_MenuItem!$C$4:$C$111,0)</f>
        <v>3</v>
      </c>
    </row>
    <row r="7" spans="1:18">
      <c r="A7" s="3"/>
      <c r="B7" s="2">
        <v>4</v>
      </c>
      <c r="C7" s="2">
        <v>1</v>
      </c>
      <c r="D7" s="2">
        <v>4</v>
      </c>
      <c r="E7" s="2"/>
      <c r="F7" s="2"/>
      <c r="G7" s="2"/>
      <c r="H7" s="2"/>
      <c r="I7" s="2"/>
      <c r="J7" s="2"/>
      <c r="K7" s="2"/>
      <c r="L7" s="2"/>
      <c r="M7" s="2"/>
      <c r="O7" s="2" t="s">
        <v>411</v>
      </c>
      <c r="P7" s="2" t="s">
        <v>458</v>
      </c>
      <c r="Q7" s="2">
        <f>MATCH($O7,Phobida_MenuCate!$C$4:$C$31,0)</f>
        <v>1</v>
      </c>
      <c r="R7" s="2">
        <f>MATCH($P7,Phobida_MenuItem!$C$4:$C$111,0)</f>
        <v>4</v>
      </c>
    </row>
    <row r="8" spans="1:18">
      <c r="A8" s="3"/>
      <c r="B8" s="2">
        <v>5</v>
      </c>
      <c r="C8" s="2">
        <v>1</v>
      </c>
      <c r="D8" s="2">
        <v>5</v>
      </c>
      <c r="E8" s="2"/>
      <c r="F8" s="2"/>
      <c r="G8" s="2"/>
      <c r="H8" s="2"/>
      <c r="I8" s="2"/>
      <c r="J8" s="2"/>
      <c r="K8" s="2"/>
      <c r="L8" s="2"/>
      <c r="M8" s="2"/>
      <c r="O8" s="2" t="s">
        <v>411</v>
      </c>
      <c r="P8" s="2" t="s">
        <v>461</v>
      </c>
      <c r="Q8" s="2">
        <f>MATCH($O8,Phobida_MenuCate!$C$4:$C$31,0)</f>
        <v>1</v>
      </c>
      <c r="R8" s="2">
        <f>MATCH($P8,Phobida_MenuItem!$C$4:$C$111,0)</f>
        <v>5</v>
      </c>
    </row>
    <row r="9" spans="1:18">
      <c r="A9" s="3"/>
      <c r="B9" s="2">
        <v>6</v>
      </c>
      <c r="C9" s="2">
        <v>2</v>
      </c>
      <c r="D9" s="2">
        <v>6</v>
      </c>
      <c r="E9" s="2"/>
      <c r="F9" s="2"/>
      <c r="G9" s="2"/>
      <c r="H9" s="2"/>
      <c r="I9" s="2"/>
      <c r="J9" s="2"/>
      <c r="K9" s="2"/>
      <c r="L9" s="2"/>
      <c r="M9" s="2"/>
      <c r="O9" s="2" t="s">
        <v>411</v>
      </c>
      <c r="P9" s="2" t="s">
        <v>464</v>
      </c>
      <c r="Q9" s="2">
        <f>MATCH($O9,Phobida_MenuCate!$C$4:$C$31,0)</f>
        <v>1</v>
      </c>
      <c r="R9" s="2">
        <f>MATCH($P9,Phobida_MenuItem!$C$4:$C$111,0)</f>
        <v>6</v>
      </c>
    </row>
    <row r="10" spans="1:18">
      <c r="A10" s="3"/>
      <c r="B10" s="2">
        <v>7</v>
      </c>
      <c r="C10" s="2">
        <v>2</v>
      </c>
      <c r="D10" s="2">
        <v>7</v>
      </c>
      <c r="E10" s="2"/>
      <c r="F10" s="2"/>
      <c r="G10" s="2"/>
      <c r="H10" s="2"/>
      <c r="I10" s="2"/>
      <c r="J10" s="2"/>
      <c r="K10" s="2"/>
      <c r="L10" s="2"/>
      <c r="M10" s="2"/>
      <c r="O10" s="2" t="s">
        <v>411</v>
      </c>
      <c r="P10" s="2" t="s">
        <v>467</v>
      </c>
      <c r="Q10" s="2">
        <f>MATCH($O10,Phobida_MenuCate!$C$4:$C$31,0)</f>
        <v>1</v>
      </c>
      <c r="R10" s="2">
        <f>MATCH($P10,Phobida_MenuItem!$C$4:$C$111,0)</f>
        <v>7</v>
      </c>
    </row>
    <row r="11" spans="1:18">
      <c r="A11" s="3"/>
      <c r="B11" s="2">
        <v>8</v>
      </c>
      <c r="C11" s="2">
        <v>2</v>
      </c>
      <c r="D11" s="2">
        <v>8</v>
      </c>
      <c r="E11" s="2"/>
      <c r="F11" s="2"/>
      <c r="G11" s="2"/>
      <c r="H11" s="2"/>
      <c r="I11" s="2"/>
      <c r="J11" s="2"/>
      <c r="K11" s="2"/>
      <c r="L11" s="2"/>
      <c r="M11" s="2"/>
      <c r="O11" s="2" t="s">
        <v>411</v>
      </c>
      <c r="P11" s="2" t="s">
        <v>470</v>
      </c>
      <c r="Q11" s="2">
        <f>MATCH($O11,Phobida_MenuCate!$C$4:$C$31,0)</f>
        <v>1</v>
      </c>
      <c r="R11" s="2">
        <f>MATCH($P11,Phobida_MenuItem!$C$4:$C$111,0)</f>
        <v>8</v>
      </c>
    </row>
    <row r="12" spans="1:18">
      <c r="A12" s="3"/>
      <c r="B12" s="2">
        <v>9</v>
      </c>
      <c r="C12" s="2">
        <v>2</v>
      </c>
      <c r="D12" s="2">
        <v>9</v>
      </c>
      <c r="E12" s="2"/>
      <c r="F12" s="2"/>
      <c r="G12" s="2"/>
      <c r="H12" s="2"/>
      <c r="I12" s="2"/>
      <c r="J12" s="2"/>
      <c r="K12" s="2"/>
      <c r="L12" s="2"/>
      <c r="M12" s="2"/>
      <c r="O12" s="2" t="s">
        <v>415</v>
      </c>
      <c r="P12" s="2" t="s">
        <v>473</v>
      </c>
      <c r="Q12" s="2">
        <f>MATCH($O12,Phobida_MenuCate!$C$4:$C$31,0)</f>
        <v>2</v>
      </c>
      <c r="R12" s="2">
        <f>MATCH($P12,Phobida_MenuItem!$C$4:$C$111,0)</f>
        <v>9</v>
      </c>
    </row>
    <row r="13" spans="1:18">
      <c r="A13" s="3"/>
      <c r="B13" s="2">
        <v>10</v>
      </c>
      <c r="C13" s="2">
        <v>2</v>
      </c>
      <c r="D13" s="2">
        <v>10</v>
      </c>
      <c r="E13" s="2"/>
      <c r="F13" s="2"/>
      <c r="G13" s="2"/>
      <c r="H13" s="2"/>
      <c r="I13" s="2"/>
      <c r="J13" s="2"/>
      <c r="K13" s="2"/>
      <c r="L13" s="2"/>
      <c r="M13" s="2"/>
      <c r="O13" s="2" t="s">
        <v>415</v>
      </c>
      <c r="P13" s="2" t="s">
        <v>476</v>
      </c>
      <c r="Q13" s="2">
        <f>MATCH($O13,Phobida_MenuCate!$C$4:$C$31,0)</f>
        <v>2</v>
      </c>
      <c r="R13" s="2">
        <f>MATCH($P13,Phobida_MenuItem!$C$4:$C$111,0)</f>
        <v>10</v>
      </c>
    </row>
    <row r="14" spans="1:18">
      <c r="A14" s="3"/>
      <c r="B14" s="2">
        <v>11</v>
      </c>
      <c r="C14" s="2">
        <v>2</v>
      </c>
      <c r="D14" s="2">
        <v>11</v>
      </c>
      <c r="E14" s="2"/>
      <c r="F14" s="2"/>
      <c r="G14" s="2"/>
      <c r="H14" s="2"/>
      <c r="I14" s="2"/>
      <c r="J14" s="2"/>
      <c r="K14" s="2"/>
      <c r="L14" s="2"/>
      <c r="M14" s="2"/>
      <c r="O14" s="2" t="s">
        <v>415</v>
      </c>
      <c r="P14" s="2" t="s">
        <v>479</v>
      </c>
      <c r="Q14" s="2">
        <f>MATCH($O14,Phobida_MenuCate!$C$4:$C$31,0)</f>
        <v>2</v>
      </c>
      <c r="R14" s="2">
        <f>MATCH($P14,Phobida_MenuItem!$C$4:$C$111,0)</f>
        <v>11</v>
      </c>
    </row>
    <row r="15" spans="1:18">
      <c r="A15" s="3"/>
      <c r="B15" s="2">
        <v>12</v>
      </c>
      <c r="C15" s="2">
        <v>2</v>
      </c>
      <c r="D15" s="2">
        <v>12</v>
      </c>
      <c r="E15" s="2"/>
      <c r="F15" s="2"/>
      <c r="G15" s="2"/>
      <c r="H15" s="2"/>
      <c r="I15" s="2"/>
      <c r="J15" s="2"/>
      <c r="K15" s="2"/>
      <c r="L15" s="2"/>
      <c r="M15" s="2"/>
      <c r="O15" s="2" t="s">
        <v>415</v>
      </c>
      <c r="P15" s="2" t="s">
        <v>482</v>
      </c>
      <c r="Q15" s="2">
        <f>MATCH($O15,Phobida_MenuCate!$C$4:$C$31,0)</f>
        <v>2</v>
      </c>
      <c r="R15" s="2">
        <f>MATCH($P15,Phobida_MenuItem!$C$4:$C$111,0)</f>
        <v>12</v>
      </c>
    </row>
    <row r="16" spans="1:18">
      <c r="A16" s="3"/>
      <c r="B16" s="2">
        <v>13</v>
      </c>
      <c r="C16" s="2">
        <v>2</v>
      </c>
      <c r="D16" s="2">
        <v>13</v>
      </c>
      <c r="E16" s="2"/>
      <c r="F16" s="2"/>
      <c r="G16" s="2"/>
      <c r="H16" s="2"/>
      <c r="I16" s="2"/>
      <c r="J16" s="2"/>
      <c r="K16" s="2"/>
      <c r="L16" s="2"/>
      <c r="M16" s="2"/>
      <c r="O16" s="2" t="s">
        <v>415</v>
      </c>
      <c r="P16" s="2" t="s">
        <v>485</v>
      </c>
      <c r="Q16" s="2">
        <f>MATCH($O16,Phobida_MenuCate!$C$4:$C$31,0)</f>
        <v>2</v>
      </c>
      <c r="R16" s="2">
        <f>MATCH($P16,Phobida_MenuItem!$C$4:$C$111,0)</f>
        <v>13</v>
      </c>
    </row>
    <row r="17" spans="1:18">
      <c r="A17" s="3"/>
      <c r="B17" s="2">
        <v>14</v>
      </c>
      <c r="C17" s="2">
        <v>3</v>
      </c>
      <c r="D17" s="2">
        <v>14</v>
      </c>
      <c r="E17" s="2"/>
      <c r="F17" s="2"/>
      <c r="G17" s="2"/>
      <c r="H17" s="2"/>
      <c r="I17" s="2"/>
      <c r="J17" s="2"/>
      <c r="K17" s="2"/>
      <c r="L17" s="2"/>
      <c r="M17" s="2"/>
      <c r="O17" s="2" t="s">
        <v>415</v>
      </c>
      <c r="P17" s="2" t="s">
        <v>488</v>
      </c>
      <c r="Q17" s="2">
        <f>MATCH($O17,Phobida_MenuCate!$C$4:$C$31,0)</f>
        <v>2</v>
      </c>
      <c r="R17" s="2">
        <f>MATCH($P17,Phobida_MenuItem!$C$4:$C$111,0)</f>
        <v>14</v>
      </c>
    </row>
    <row r="18" spans="1:18">
      <c r="A18" s="3"/>
      <c r="B18" s="2">
        <v>15</v>
      </c>
      <c r="C18" s="2">
        <v>3</v>
      </c>
      <c r="D18" s="2">
        <v>15</v>
      </c>
      <c r="E18" s="2"/>
      <c r="F18" s="2"/>
      <c r="G18" s="2"/>
      <c r="H18" s="2"/>
      <c r="I18" s="2"/>
      <c r="J18" s="2"/>
      <c r="K18" s="2"/>
      <c r="L18" s="2"/>
      <c r="M18" s="2"/>
      <c r="O18" s="2" t="s">
        <v>415</v>
      </c>
      <c r="P18" s="2" t="s">
        <v>490</v>
      </c>
      <c r="Q18" s="2">
        <f>MATCH($O18,Phobida_MenuCate!$C$4:$C$31,0)</f>
        <v>2</v>
      </c>
      <c r="R18" s="2">
        <f>MATCH($P18,Phobida_MenuItem!$C$4:$C$111,0)</f>
        <v>15</v>
      </c>
    </row>
    <row r="19" spans="1:18">
      <c r="A19" s="3"/>
      <c r="B19" s="2">
        <v>16</v>
      </c>
      <c r="C19" s="2">
        <v>4</v>
      </c>
      <c r="D19" s="2">
        <v>16</v>
      </c>
      <c r="E19" s="2"/>
      <c r="F19" s="2"/>
      <c r="G19" s="2"/>
      <c r="H19" s="2"/>
      <c r="I19" s="2"/>
      <c r="J19" s="2"/>
      <c r="K19" s="2"/>
      <c r="L19" s="2"/>
      <c r="M19" s="2"/>
      <c r="O19" s="2" t="s">
        <v>415</v>
      </c>
      <c r="P19" s="2" t="s">
        <v>492</v>
      </c>
      <c r="Q19" s="2">
        <f>MATCH($O19,Phobida_MenuCate!$C$4:$C$31,0)</f>
        <v>2</v>
      </c>
      <c r="R19" s="2">
        <f>MATCH($P19,Phobida_MenuItem!$C$4:$C$111,0)</f>
        <v>16</v>
      </c>
    </row>
    <row r="20" spans="1:18">
      <c r="A20" s="3"/>
      <c r="B20" s="2">
        <v>17</v>
      </c>
      <c r="C20" s="2">
        <v>4</v>
      </c>
      <c r="D20" s="2">
        <v>17</v>
      </c>
      <c r="E20" s="2"/>
      <c r="F20" s="2"/>
      <c r="G20" s="2"/>
      <c r="H20" s="2"/>
      <c r="I20" s="2"/>
      <c r="J20" s="2"/>
      <c r="K20" s="2"/>
      <c r="L20" s="2"/>
      <c r="M20" s="2"/>
      <c r="O20" s="2" t="s">
        <v>419</v>
      </c>
      <c r="P20" s="2" t="s">
        <v>494</v>
      </c>
      <c r="Q20" s="2">
        <f>MATCH($O20,Phobida_MenuCate!$C$4:$C$31,0)</f>
        <v>3</v>
      </c>
      <c r="R20" s="2">
        <f>MATCH($P20,Phobida_MenuItem!$C$4:$C$111,0)</f>
        <v>17</v>
      </c>
    </row>
    <row r="21" spans="1:18">
      <c r="A21" s="3"/>
      <c r="B21" s="2">
        <v>18</v>
      </c>
      <c r="C21" s="2">
        <v>4</v>
      </c>
      <c r="D21" s="2">
        <v>18</v>
      </c>
      <c r="E21" s="2"/>
      <c r="F21" s="2"/>
      <c r="G21" s="2"/>
      <c r="H21" s="2"/>
      <c r="I21" s="2"/>
      <c r="J21" s="2"/>
      <c r="K21" s="2"/>
      <c r="L21" s="2"/>
      <c r="M21" s="2"/>
      <c r="O21" s="2" t="s">
        <v>419</v>
      </c>
      <c r="P21" s="2" t="s">
        <v>497</v>
      </c>
      <c r="Q21" s="2">
        <f>MATCH($O21,Phobida_MenuCate!$C$4:$C$31,0)</f>
        <v>3</v>
      </c>
      <c r="R21" s="2">
        <f>MATCH($P21,Phobida_MenuItem!$C$4:$C$111,0)</f>
        <v>18</v>
      </c>
    </row>
    <row r="22" spans="1:18">
      <c r="A22" s="3"/>
      <c r="B22" s="2">
        <v>19</v>
      </c>
      <c r="C22" s="2">
        <v>4</v>
      </c>
      <c r="D22" s="2">
        <v>19</v>
      </c>
      <c r="E22" s="2"/>
      <c r="F22" s="2"/>
      <c r="G22" s="2"/>
      <c r="H22" s="2"/>
      <c r="I22" s="2"/>
      <c r="J22" s="2"/>
      <c r="K22" s="2"/>
      <c r="L22" s="2"/>
      <c r="M22" s="2"/>
      <c r="O22" s="2" t="s">
        <v>422</v>
      </c>
      <c r="P22" s="2" t="s">
        <v>500</v>
      </c>
      <c r="Q22" s="2">
        <f>MATCH($O22,Phobida_MenuCate!$C$4:$C$31,0)</f>
        <v>4</v>
      </c>
      <c r="R22" s="2">
        <f>MATCH($P22,Phobida_MenuItem!$C$4:$C$111,0)</f>
        <v>19</v>
      </c>
    </row>
    <row r="23" spans="1:18">
      <c r="A23" s="3"/>
      <c r="B23" s="2">
        <v>20</v>
      </c>
      <c r="C23" s="2">
        <v>4</v>
      </c>
      <c r="D23" s="2">
        <v>20</v>
      </c>
      <c r="E23" s="2"/>
      <c r="F23" s="2"/>
      <c r="G23" s="2"/>
      <c r="H23" s="2"/>
      <c r="I23" s="2"/>
      <c r="J23" s="2"/>
      <c r="K23" s="2"/>
      <c r="L23" s="2"/>
      <c r="M23" s="2"/>
      <c r="O23" s="2" t="s">
        <v>422</v>
      </c>
      <c r="P23" s="2" t="s">
        <v>503</v>
      </c>
      <c r="Q23" s="2">
        <f>MATCH($O23,Phobida_MenuCate!$C$4:$C$31,0)</f>
        <v>4</v>
      </c>
      <c r="R23" s="2">
        <f>MATCH($P23,Phobida_MenuItem!$C$4:$C$111,0)</f>
        <v>20</v>
      </c>
    </row>
    <row r="24" spans="1:18">
      <c r="A24" s="3"/>
      <c r="B24" s="2">
        <v>21</v>
      </c>
      <c r="C24" s="2">
        <v>4</v>
      </c>
      <c r="D24" s="2">
        <v>21</v>
      </c>
      <c r="E24" s="2"/>
      <c r="F24" s="2"/>
      <c r="G24" s="2"/>
      <c r="H24" s="2"/>
      <c r="I24" s="2"/>
      <c r="J24" s="2"/>
      <c r="K24" s="2"/>
      <c r="L24" s="2"/>
      <c r="M24" s="2"/>
      <c r="O24" s="2" t="s">
        <v>422</v>
      </c>
      <c r="P24" s="2" t="s">
        <v>506</v>
      </c>
      <c r="Q24" s="2">
        <f>MATCH($O24,Phobida_MenuCate!$C$4:$C$31,0)</f>
        <v>4</v>
      </c>
      <c r="R24" s="2">
        <f>MATCH($P24,Phobida_MenuItem!$C$4:$C$111,0)</f>
        <v>21</v>
      </c>
    </row>
    <row r="25" spans="1:18">
      <c r="A25" s="3"/>
      <c r="B25" s="2">
        <v>22</v>
      </c>
      <c r="C25" s="2">
        <v>4</v>
      </c>
      <c r="D25" s="2">
        <v>22</v>
      </c>
      <c r="E25" s="2"/>
      <c r="F25" s="2"/>
      <c r="G25" s="2"/>
      <c r="H25" s="2"/>
      <c r="I25" s="2"/>
      <c r="J25" s="2"/>
      <c r="K25" s="2"/>
      <c r="L25" s="2"/>
      <c r="M25" s="2"/>
      <c r="O25" s="2" t="s">
        <v>422</v>
      </c>
      <c r="P25" s="2" t="s">
        <v>509</v>
      </c>
      <c r="Q25" s="2">
        <f>MATCH($O25,Phobida_MenuCate!$C$4:$C$31,0)</f>
        <v>4</v>
      </c>
      <c r="R25" s="2">
        <f>MATCH($P25,Phobida_MenuItem!$C$4:$C$111,0)</f>
        <v>22</v>
      </c>
    </row>
    <row r="26" spans="1:18">
      <c r="A26" s="3"/>
      <c r="B26" s="2">
        <v>23</v>
      </c>
      <c r="C26" s="2">
        <v>4</v>
      </c>
      <c r="D26" s="2">
        <v>23</v>
      </c>
      <c r="E26" s="2"/>
      <c r="F26" s="2"/>
      <c r="G26" s="2"/>
      <c r="H26" s="2"/>
      <c r="I26" s="2"/>
      <c r="J26" s="2"/>
      <c r="K26" s="2"/>
      <c r="L26" s="2"/>
      <c r="M26" s="2"/>
      <c r="O26" s="2" t="s">
        <v>422</v>
      </c>
      <c r="P26" s="2" t="s">
        <v>512</v>
      </c>
      <c r="Q26" s="2">
        <f>MATCH($O26,Phobida_MenuCate!$C$4:$C$31,0)</f>
        <v>4</v>
      </c>
      <c r="R26" s="2">
        <f>MATCH($P26,Phobida_MenuItem!$C$4:$C$111,0)</f>
        <v>23</v>
      </c>
    </row>
    <row r="27" spans="1:18">
      <c r="A27" s="3"/>
      <c r="B27" s="2">
        <v>24</v>
      </c>
      <c r="C27" s="2">
        <v>4</v>
      </c>
      <c r="D27" s="2">
        <v>24</v>
      </c>
      <c r="E27" s="2"/>
      <c r="F27" s="2"/>
      <c r="G27" s="2"/>
      <c r="H27" s="2"/>
      <c r="I27" s="2"/>
      <c r="J27" s="2"/>
      <c r="K27" s="2"/>
      <c r="L27" s="2"/>
      <c r="M27" s="2"/>
      <c r="O27" s="2" t="s">
        <v>422</v>
      </c>
      <c r="P27" s="2" t="s">
        <v>515</v>
      </c>
      <c r="Q27" s="2">
        <f>MATCH($O27,Phobida_MenuCate!$C$4:$C$31,0)</f>
        <v>4</v>
      </c>
      <c r="R27" s="2">
        <f>MATCH($P27,Phobida_MenuItem!$C$4:$C$111,0)</f>
        <v>24</v>
      </c>
    </row>
    <row r="28" spans="1:18">
      <c r="A28" s="3"/>
      <c r="B28" s="2">
        <v>25</v>
      </c>
      <c r="C28" s="2">
        <v>5</v>
      </c>
      <c r="D28" s="2">
        <v>25</v>
      </c>
      <c r="E28" s="2"/>
      <c r="F28" s="2"/>
      <c r="G28" s="2"/>
      <c r="H28" s="2"/>
      <c r="I28" s="2"/>
      <c r="J28" s="2"/>
      <c r="K28" s="2"/>
      <c r="L28" s="2"/>
      <c r="M28" s="2"/>
      <c r="O28" s="2" t="s">
        <v>422</v>
      </c>
      <c r="P28" s="2" t="s">
        <v>517</v>
      </c>
      <c r="Q28" s="2">
        <f>MATCH($O28,Phobida_MenuCate!$C$4:$C$31,0)</f>
        <v>4</v>
      </c>
      <c r="R28" s="2">
        <f>MATCH($P28,Phobida_MenuItem!$C$4:$C$111,0)</f>
        <v>25</v>
      </c>
    </row>
    <row r="29" spans="1:18">
      <c r="A29" s="3"/>
      <c r="B29" s="2">
        <v>26</v>
      </c>
      <c r="C29" s="2">
        <v>5</v>
      </c>
      <c r="D29" s="2">
        <v>26</v>
      </c>
      <c r="E29" s="2"/>
      <c r="F29" s="2"/>
      <c r="G29" s="2"/>
      <c r="H29" s="2"/>
      <c r="I29" s="2"/>
      <c r="J29" s="2"/>
      <c r="K29" s="2"/>
      <c r="L29" s="2"/>
      <c r="M29" s="2"/>
      <c r="O29" s="2" t="s">
        <v>422</v>
      </c>
      <c r="P29" s="2" t="s">
        <v>520</v>
      </c>
      <c r="Q29" s="2">
        <f>MATCH($O29,Phobida_MenuCate!$C$4:$C$31,0)</f>
        <v>4</v>
      </c>
      <c r="R29" s="2">
        <f>MATCH($P29,Phobida_MenuItem!$C$4:$C$111,0)</f>
        <v>26</v>
      </c>
    </row>
    <row r="30" spans="1:18">
      <c r="A30" s="3"/>
      <c r="B30" s="2">
        <v>27</v>
      </c>
      <c r="C30" s="2">
        <v>5</v>
      </c>
      <c r="D30" s="2">
        <v>27</v>
      </c>
      <c r="E30" s="2"/>
      <c r="F30" s="2"/>
      <c r="G30" s="2"/>
      <c r="H30" s="2"/>
      <c r="I30" s="2"/>
      <c r="J30" s="2"/>
      <c r="K30" s="2"/>
      <c r="L30" s="2"/>
      <c r="M30" s="2"/>
      <c r="O30" s="2" t="s">
        <v>422</v>
      </c>
      <c r="P30" s="2" t="s">
        <v>523</v>
      </c>
      <c r="Q30" s="2">
        <f>MATCH($O30,Phobida_MenuCate!$C$4:$C$31,0)</f>
        <v>4</v>
      </c>
      <c r="R30" s="2">
        <f>MATCH($P30,Phobida_MenuItem!$C$4:$C$111,0)</f>
        <v>27</v>
      </c>
    </row>
    <row r="31" spans="1:18">
      <c r="A31" s="3"/>
      <c r="B31" s="2">
        <v>28</v>
      </c>
      <c r="C31" s="2">
        <v>5</v>
      </c>
      <c r="D31" s="2">
        <v>28</v>
      </c>
      <c r="E31" s="2"/>
      <c r="F31" s="2"/>
      <c r="G31" s="2"/>
      <c r="H31" s="2"/>
      <c r="I31" s="2"/>
      <c r="J31" s="2"/>
      <c r="K31" s="2"/>
      <c r="L31" s="2"/>
      <c r="M31" s="2"/>
      <c r="O31" s="2" t="s">
        <v>425</v>
      </c>
      <c r="P31" s="2" t="s">
        <v>526</v>
      </c>
      <c r="Q31" s="2">
        <f>MATCH($O31,Phobida_MenuCate!$C$4:$C$31,0)</f>
        <v>5</v>
      </c>
      <c r="R31" s="2">
        <f>MATCH($P31,Phobida_MenuItem!$C$4:$C$111,0)</f>
        <v>28</v>
      </c>
    </row>
    <row r="32" spans="1:18">
      <c r="A32" s="3"/>
      <c r="B32" s="2">
        <v>29</v>
      </c>
      <c r="C32" s="2">
        <v>5</v>
      </c>
      <c r="D32" s="2">
        <v>29</v>
      </c>
      <c r="E32" s="2"/>
      <c r="F32" s="2"/>
      <c r="G32" s="2"/>
      <c r="H32" s="2"/>
      <c r="I32" s="2"/>
      <c r="J32" s="2"/>
      <c r="K32" s="2"/>
      <c r="L32" s="2"/>
      <c r="M32" s="2"/>
      <c r="O32" s="2" t="s">
        <v>425</v>
      </c>
      <c r="P32" s="2" t="s">
        <v>529</v>
      </c>
      <c r="Q32" s="2">
        <f>MATCH($O32,Phobida_MenuCate!$C$4:$C$31,0)</f>
        <v>5</v>
      </c>
      <c r="R32" s="2">
        <f>MATCH($P32,Phobida_MenuItem!$C$4:$C$111,0)</f>
        <v>29</v>
      </c>
    </row>
    <row r="33" spans="1:18">
      <c r="A33" s="3"/>
      <c r="B33" s="2">
        <v>30</v>
      </c>
      <c r="C33" s="2">
        <v>5</v>
      </c>
      <c r="D33" s="2">
        <v>30</v>
      </c>
      <c r="E33" s="2"/>
      <c r="F33" s="2"/>
      <c r="G33" s="2"/>
      <c r="H33" s="2"/>
      <c r="I33" s="2"/>
      <c r="J33" s="2"/>
      <c r="K33" s="2"/>
      <c r="L33" s="2"/>
      <c r="M33" s="2"/>
      <c r="O33" s="2" t="s">
        <v>425</v>
      </c>
      <c r="P33" s="2" t="s">
        <v>532</v>
      </c>
      <c r="Q33" s="2">
        <f>MATCH($O33,Phobida_MenuCate!$C$4:$C$31,0)</f>
        <v>5</v>
      </c>
      <c r="R33" s="2">
        <f>MATCH($P33,Phobida_MenuItem!$C$4:$C$111,0)</f>
        <v>30</v>
      </c>
    </row>
    <row r="34" spans="1:18">
      <c r="A34" s="3"/>
      <c r="B34" s="2">
        <v>31</v>
      </c>
      <c r="C34" s="2">
        <v>5</v>
      </c>
      <c r="D34" s="2">
        <v>31</v>
      </c>
      <c r="E34" s="2"/>
      <c r="F34" s="2"/>
      <c r="G34" s="2"/>
      <c r="H34" s="2"/>
      <c r="I34" s="2"/>
      <c r="J34" s="2"/>
      <c r="K34" s="2"/>
      <c r="L34" s="2"/>
      <c r="M34" s="2"/>
      <c r="O34" s="2" t="s">
        <v>425</v>
      </c>
      <c r="P34" s="2" t="s">
        <v>534</v>
      </c>
      <c r="Q34" s="2">
        <f>MATCH($O34,Phobida_MenuCate!$C$4:$C$31,0)</f>
        <v>5</v>
      </c>
      <c r="R34" s="2">
        <f>MATCH($P34,Phobida_MenuItem!$C$4:$C$111,0)</f>
        <v>31</v>
      </c>
    </row>
    <row r="35" spans="1:18">
      <c r="A35" s="3"/>
      <c r="B35" s="2">
        <v>32</v>
      </c>
      <c r="C35" s="2">
        <v>5</v>
      </c>
      <c r="D35" s="2">
        <v>32</v>
      </c>
      <c r="E35" s="2"/>
      <c r="F35" s="2"/>
      <c r="G35" s="2"/>
      <c r="H35" s="2"/>
      <c r="I35" s="2"/>
      <c r="J35" s="2"/>
      <c r="K35" s="2"/>
      <c r="L35" s="2"/>
      <c r="M35" s="2"/>
      <c r="O35" s="2" t="s">
        <v>425</v>
      </c>
      <c r="P35" s="2" t="s">
        <v>537</v>
      </c>
      <c r="Q35" s="2">
        <f>MATCH($O35,Phobida_MenuCate!$C$4:$C$31,0)</f>
        <v>5</v>
      </c>
      <c r="R35" s="2">
        <f>MATCH($P35,Phobida_MenuItem!$C$4:$C$111,0)</f>
        <v>32</v>
      </c>
    </row>
    <row r="36" spans="1:18">
      <c r="A36" s="3"/>
      <c r="B36" s="2">
        <v>33</v>
      </c>
      <c r="C36" s="2">
        <v>5</v>
      </c>
      <c r="D36" s="2">
        <v>33</v>
      </c>
      <c r="E36" s="2"/>
      <c r="F36" s="2"/>
      <c r="G36" s="2"/>
      <c r="H36" s="2"/>
      <c r="I36" s="2"/>
      <c r="J36" s="2"/>
      <c r="K36" s="2"/>
      <c r="L36" s="2"/>
      <c r="M36" s="2"/>
      <c r="O36" s="2" t="s">
        <v>425</v>
      </c>
      <c r="P36" s="2" t="s">
        <v>540</v>
      </c>
      <c r="Q36" s="2">
        <f>MATCH($O36,Phobida_MenuCate!$C$4:$C$31,0)</f>
        <v>5</v>
      </c>
      <c r="R36" s="2">
        <f>MATCH($P36,Phobida_MenuItem!$C$4:$C$111,0)</f>
        <v>33</v>
      </c>
    </row>
    <row r="37" spans="1:18">
      <c r="A37" s="3"/>
      <c r="B37" s="2">
        <v>34</v>
      </c>
      <c r="C37" s="2">
        <v>5</v>
      </c>
      <c r="D37" s="2">
        <v>34</v>
      </c>
      <c r="E37" s="2"/>
      <c r="F37" s="2"/>
      <c r="G37" s="2"/>
      <c r="H37" s="2"/>
      <c r="I37" s="2"/>
      <c r="J37" s="2"/>
      <c r="K37" s="2"/>
      <c r="L37" s="2"/>
      <c r="M37" s="2"/>
      <c r="O37" s="2" t="s">
        <v>425</v>
      </c>
      <c r="P37" s="2" t="s">
        <v>543</v>
      </c>
      <c r="Q37" s="2">
        <f>MATCH($O37,Phobida_MenuCate!$C$4:$C$31,0)</f>
        <v>5</v>
      </c>
      <c r="R37" s="2">
        <f>MATCH($P37,Phobida_MenuItem!$C$4:$C$111,0)</f>
        <v>34</v>
      </c>
    </row>
    <row r="38" spans="1:18">
      <c r="A38" s="3"/>
      <c r="B38" s="2">
        <v>35</v>
      </c>
      <c r="C38" s="2">
        <v>5</v>
      </c>
      <c r="D38" s="2">
        <v>35</v>
      </c>
      <c r="E38" s="2"/>
      <c r="F38" s="2"/>
      <c r="G38" s="2"/>
      <c r="H38" s="2"/>
      <c r="I38" s="2"/>
      <c r="J38" s="2"/>
      <c r="K38" s="2"/>
      <c r="L38" s="2"/>
      <c r="M38" s="2"/>
      <c r="O38" s="2" t="s">
        <v>425</v>
      </c>
      <c r="P38" s="2" t="s">
        <v>546</v>
      </c>
      <c r="Q38" s="2">
        <f>MATCH($O38,Phobida_MenuCate!$C$4:$C$31,0)</f>
        <v>5</v>
      </c>
      <c r="R38" s="2">
        <f>MATCH($P38,Phobida_MenuItem!$C$4:$C$111,0)</f>
        <v>35</v>
      </c>
    </row>
    <row r="39" spans="1:18">
      <c r="A39" s="3"/>
      <c r="B39" s="2">
        <v>36</v>
      </c>
      <c r="C39" s="2">
        <v>5</v>
      </c>
      <c r="D39" s="2">
        <v>36</v>
      </c>
      <c r="E39" s="2"/>
      <c r="F39" s="2"/>
      <c r="G39" s="2"/>
      <c r="H39" s="2"/>
      <c r="I39" s="2"/>
      <c r="J39" s="2"/>
      <c r="K39" s="2"/>
      <c r="L39" s="2"/>
      <c r="M39" s="2"/>
      <c r="O39" s="2" t="s">
        <v>425</v>
      </c>
      <c r="P39" s="2" t="s">
        <v>549</v>
      </c>
      <c r="Q39" s="2">
        <f>MATCH($O39,Phobida_MenuCate!$C$4:$C$31,0)</f>
        <v>5</v>
      </c>
      <c r="R39" s="2">
        <f>MATCH($P39,Phobida_MenuItem!$C$4:$C$111,0)</f>
        <v>36</v>
      </c>
    </row>
    <row r="40" spans="1:18">
      <c r="A40" s="3"/>
      <c r="B40" s="2">
        <v>37</v>
      </c>
      <c r="C40" s="2">
        <v>5</v>
      </c>
      <c r="D40" s="2">
        <v>37</v>
      </c>
      <c r="E40" s="2"/>
      <c r="F40" s="2"/>
      <c r="G40" s="2"/>
      <c r="H40" s="2"/>
      <c r="I40" s="2"/>
      <c r="J40" s="2"/>
      <c r="K40" s="2"/>
      <c r="L40" s="2"/>
      <c r="M40" s="2"/>
      <c r="O40" s="2" t="s">
        <v>425</v>
      </c>
      <c r="P40" s="2" t="s">
        <v>552</v>
      </c>
      <c r="Q40" s="2">
        <f>MATCH($O40,Phobida_MenuCate!$C$4:$C$31,0)</f>
        <v>5</v>
      </c>
      <c r="R40" s="2">
        <f>MATCH($P40,Phobida_MenuItem!$C$4:$C$111,0)</f>
        <v>37</v>
      </c>
    </row>
    <row r="41" spans="1:18">
      <c r="A41" s="3"/>
      <c r="B41" s="2">
        <v>38</v>
      </c>
      <c r="C41" s="2">
        <v>6</v>
      </c>
      <c r="D41" s="2">
        <v>38</v>
      </c>
      <c r="E41" s="2"/>
      <c r="F41" s="2"/>
      <c r="G41" s="2"/>
      <c r="H41" s="2"/>
      <c r="I41" s="2"/>
      <c r="J41" s="2"/>
      <c r="K41" s="2"/>
      <c r="L41" s="2"/>
      <c r="M41" s="2"/>
      <c r="O41" s="2" t="s">
        <v>425</v>
      </c>
      <c r="P41" s="2" t="s">
        <v>555</v>
      </c>
      <c r="Q41" s="2">
        <f>MATCH($O41,Phobida_MenuCate!$C$4:$C$31,0)</f>
        <v>5</v>
      </c>
      <c r="R41" s="2">
        <f>MATCH($P41,Phobida_MenuItem!$C$4:$C$111,0)</f>
        <v>38</v>
      </c>
    </row>
    <row r="42" spans="1:18">
      <c r="A42" s="3"/>
      <c r="B42" s="2">
        <v>39</v>
      </c>
      <c r="C42" s="2">
        <v>6</v>
      </c>
      <c r="D42" s="2">
        <v>39</v>
      </c>
      <c r="E42" s="2"/>
      <c r="F42" s="2"/>
      <c r="G42" s="2"/>
      <c r="H42" s="2"/>
      <c r="I42" s="2"/>
      <c r="J42" s="2"/>
      <c r="K42" s="2"/>
      <c r="L42" s="2"/>
      <c r="M42" s="2"/>
      <c r="O42" s="2" t="s">
        <v>425</v>
      </c>
      <c r="P42" s="2" t="s">
        <v>558</v>
      </c>
      <c r="Q42" s="2">
        <f>MATCH($O42,Phobida_MenuCate!$C$4:$C$31,0)</f>
        <v>5</v>
      </c>
      <c r="R42" s="2">
        <f>MATCH($P42,Phobida_MenuItem!$C$4:$C$111,0)</f>
        <v>39</v>
      </c>
    </row>
    <row r="43" spans="1:18">
      <c r="A43" s="3"/>
      <c r="B43" s="2">
        <v>40</v>
      </c>
      <c r="C43" s="2">
        <v>6</v>
      </c>
      <c r="D43" s="2">
        <v>40</v>
      </c>
      <c r="E43" s="2"/>
      <c r="F43" s="2"/>
      <c r="G43" s="2"/>
      <c r="H43" s="2"/>
      <c r="I43" s="2"/>
      <c r="J43" s="2"/>
      <c r="K43" s="2"/>
      <c r="L43" s="2"/>
      <c r="M43" s="2"/>
      <c r="O43" s="2" t="s">
        <v>425</v>
      </c>
      <c r="P43" s="2" t="s">
        <v>561</v>
      </c>
      <c r="Q43" s="2">
        <f>MATCH($O43,Phobida_MenuCate!$C$4:$C$31,0)</f>
        <v>5</v>
      </c>
      <c r="R43" s="2">
        <f>MATCH($P43,Phobida_MenuItem!$C$4:$C$111,0)</f>
        <v>40</v>
      </c>
    </row>
    <row r="44" spans="1:18">
      <c r="A44" s="3"/>
      <c r="B44" s="2">
        <v>41</v>
      </c>
      <c r="C44" s="2">
        <v>6</v>
      </c>
      <c r="D44" s="2">
        <v>41</v>
      </c>
      <c r="E44" s="2"/>
      <c r="F44" s="2"/>
      <c r="G44" s="2"/>
      <c r="H44" s="2"/>
      <c r="I44" s="2"/>
      <c r="J44" s="2"/>
      <c r="K44" s="2"/>
      <c r="L44" s="2"/>
      <c r="M44" s="2"/>
      <c r="O44" s="2" t="s">
        <v>428</v>
      </c>
      <c r="P44" s="2" t="s">
        <v>564</v>
      </c>
      <c r="Q44" s="2">
        <f>MATCH($O44,Phobida_MenuCate!$C$4:$C$31,0)</f>
        <v>6</v>
      </c>
      <c r="R44" s="2">
        <f>MATCH($P44,Phobida_MenuItem!$C$4:$C$111,0)</f>
        <v>41</v>
      </c>
    </row>
    <row r="45" spans="1:18">
      <c r="A45" s="3"/>
      <c r="B45" s="2">
        <v>42</v>
      </c>
      <c r="C45" s="2">
        <v>6</v>
      </c>
      <c r="D45" s="2">
        <v>42</v>
      </c>
      <c r="E45" s="2"/>
      <c r="F45" s="2"/>
      <c r="G45" s="2"/>
      <c r="H45" s="2"/>
      <c r="I45" s="2"/>
      <c r="J45" s="2"/>
      <c r="K45" s="2"/>
      <c r="L45" s="2"/>
      <c r="M45" s="2"/>
      <c r="O45" s="2" t="s">
        <v>428</v>
      </c>
      <c r="P45" s="2" t="s">
        <v>567</v>
      </c>
      <c r="Q45" s="2">
        <f>MATCH($O45,Phobida_MenuCate!$C$4:$C$31,0)</f>
        <v>6</v>
      </c>
      <c r="R45" s="2">
        <f>MATCH($P45,Phobida_MenuItem!$C$4:$C$111,0)</f>
        <v>42</v>
      </c>
    </row>
    <row r="46" spans="1:18">
      <c r="A46" s="3"/>
      <c r="B46" s="2">
        <v>43</v>
      </c>
      <c r="C46" s="2">
        <v>6</v>
      </c>
      <c r="D46" s="2">
        <v>43</v>
      </c>
      <c r="E46" s="2"/>
      <c r="F46" s="2"/>
      <c r="G46" s="2"/>
      <c r="H46" s="2"/>
      <c r="I46" s="2"/>
      <c r="J46" s="2"/>
      <c r="K46" s="2"/>
      <c r="L46" s="2"/>
      <c r="M46" s="2"/>
      <c r="O46" s="2" t="s">
        <v>428</v>
      </c>
      <c r="P46" s="2" t="s">
        <v>570</v>
      </c>
      <c r="Q46" s="2">
        <f>MATCH($O46,Phobida_MenuCate!$C$4:$C$31,0)</f>
        <v>6</v>
      </c>
      <c r="R46" s="2">
        <f>MATCH($P46,Phobida_MenuItem!$C$4:$C$111,0)</f>
        <v>43</v>
      </c>
    </row>
    <row r="47" spans="1:18">
      <c r="A47" s="3"/>
      <c r="B47" s="2">
        <v>44</v>
      </c>
      <c r="C47" s="2">
        <v>6</v>
      </c>
      <c r="D47" s="2">
        <v>44</v>
      </c>
      <c r="E47" s="2"/>
      <c r="F47" s="2"/>
      <c r="G47" s="2"/>
      <c r="H47" s="2"/>
      <c r="I47" s="2"/>
      <c r="J47" s="2"/>
      <c r="K47" s="2"/>
      <c r="L47" s="2"/>
      <c r="M47" s="2"/>
      <c r="O47" s="2" t="s">
        <v>428</v>
      </c>
      <c r="P47" s="2" t="s">
        <v>573</v>
      </c>
      <c r="Q47" s="2">
        <f>MATCH($O47,Phobida_MenuCate!$C$4:$C$31,0)</f>
        <v>6</v>
      </c>
      <c r="R47" s="2">
        <f>MATCH($P47,Phobida_MenuItem!$C$4:$C$111,0)</f>
        <v>44</v>
      </c>
    </row>
    <row r="48" spans="1:18">
      <c r="A48" s="3"/>
      <c r="B48" s="2">
        <v>45</v>
      </c>
      <c r="C48" s="2">
        <v>6</v>
      </c>
      <c r="D48" s="2">
        <v>45</v>
      </c>
      <c r="E48" s="2"/>
      <c r="F48" s="2"/>
      <c r="G48" s="2"/>
      <c r="H48" s="2"/>
      <c r="I48" s="2"/>
      <c r="J48" s="2"/>
      <c r="K48" s="2"/>
      <c r="L48" s="2"/>
      <c r="M48" s="2"/>
      <c r="O48" s="2" t="s">
        <v>428</v>
      </c>
      <c r="P48" s="2" t="s">
        <v>576</v>
      </c>
      <c r="Q48" s="2">
        <f>MATCH($O48,Phobida_MenuCate!$C$4:$C$31,0)</f>
        <v>6</v>
      </c>
      <c r="R48" s="2">
        <f>MATCH($P48,Phobida_MenuItem!$C$4:$C$111,0)</f>
        <v>45</v>
      </c>
    </row>
    <row r="49" spans="1:18">
      <c r="A49" s="3"/>
      <c r="B49" s="2">
        <v>46</v>
      </c>
      <c r="C49" s="2">
        <v>6</v>
      </c>
      <c r="D49" s="2">
        <v>46</v>
      </c>
      <c r="E49" s="2"/>
      <c r="F49" s="2"/>
      <c r="G49" s="2"/>
      <c r="H49" s="2"/>
      <c r="I49" s="2"/>
      <c r="J49" s="2"/>
      <c r="K49" s="2"/>
      <c r="L49" s="2"/>
      <c r="M49" s="2"/>
      <c r="O49" s="2" t="s">
        <v>428</v>
      </c>
      <c r="P49" s="2" t="s">
        <v>579</v>
      </c>
      <c r="Q49" s="2">
        <f>MATCH($O49,Phobida_MenuCate!$C$4:$C$31,0)</f>
        <v>6</v>
      </c>
      <c r="R49" s="2">
        <f>MATCH($P49,Phobida_MenuItem!$C$4:$C$111,0)</f>
        <v>46</v>
      </c>
    </row>
    <row r="50" spans="1:18">
      <c r="A50" s="3"/>
      <c r="B50" s="2">
        <v>47</v>
      </c>
      <c r="C50" s="2">
        <v>7</v>
      </c>
      <c r="D50" s="2">
        <v>47</v>
      </c>
      <c r="E50" s="2"/>
      <c r="F50" s="2"/>
      <c r="G50" s="2"/>
      <c r="H50" s="2"/>
      <c r="I50" s="2"/>
      <c r="J50" s="2"/>
      <c r="K50" s="2"/>
      <c r="L50" s="2"/>
      <c r="M50" s="2"/>
      <c r="O50" s="2" t="s">
        <v>428</v>
      </c>
      <c r="P50" s="2" t="s">
        <v>582</v>
      </c>
      <c r="Q50" s="2">
        <f>MATCH($O50,Phobida_MenuCate!$C$4:$C$31,0)</f>
        <v>6</v>
      </c>
      <c r="R50" s="2">
        <f>MATCH($P50,Phobida_MenuItem!$C$4:$C$111,0)</f>
        <v>47</v>
      </c>
    </row>
    <row r="51" spans="1:18">
      <c r="A51" s="3"/>
      <c r="B51" s="2">
        <v>48</v>
      </c>
      <c r="C51" s="2">
        <v>7</v>
      </c>
      <c r="D51" s="2">
        <v>48</v>
      </c>
      <c r="E51" s="2"/>
      <c r="F51" s="2"/>
      <c r="G51" s="2"/>
      <c r="H51" s="2"/>
      <c r="I51" s="2"/>
      <c r="J51" s="2"/>
      <c r="K51" s="2"/>
      <c r="L51" s="2"/>
      <c r="M51" s="2"/>
      <c r="O51" s="2" t="s">
        <v>428</v>
      </c>
      <c r="P51" s="2" t="s">
        <v>585</v>
      </c>
      <c r="Q51" s="2">
        <f>MATCH($O51,Phobida_MenuCate!$C$4:$C$31,0)</f>
        <v>6</v>
      </c>
      <c r="R51" s="2">
        <f>MATCH($P51,Phobida_MenuItem!$C$4:$C$111,0)</f>
        <v>48</v>
      </c>
    </row>
    <row r="52" spans="1:18">
      <c r="A52" s="3"/>
      <c r="B52" s="2">
        <v>49</v>
      </c>
      <c r="C52" s="2">
        <v>7</v>
      </c>
      <c r="D52" s="2">
        <v>49</v>
      </c>
      <c r="E52" s="2"/>
      <c r="F52" s="2"/>
      <c r="G52" s="2"/>
      <c r="H52" s="2"/>
      <c r="I52" s="2"/>
      <c r="J52" s="2"/>
      <c r="K52" s="2"/>
      <c r="L52" s="2"/>
      <c r="M52" s="2"/>
      <c r="O52" s="2" t="s">
        <v>428</v>
      </c>
      <c r="P52" s="2" t="s">
        <v>588</v>
      </c>
      <c r="Q52" s="2">
        <f>MATCH($O52,Phobida_MenuCate!$C$4:$C$31,0)</f>
        <v>6</v>
      </c>
      <c r="R52" s="2">
        <f>MATCH($P52,Phobida_MenuItem!$C$4:$C$111,0)</f>
        <v>49</v>
      </c>
    </row>
    <row r="53" spans="1:18">
      <c r="A53" s="3"/>
      <c r="B53" s="2">
        <v>50</v>
      </c>
      <c r="C53" s="2">
        <v>7</v>
      </c>
      <c r="D53" s="2">
        <v>50</v>
      </c>
      <c r="E53" s="2"/>
      <c r="F53" s="2"/>
      <c r="G53" s="2"/>
      <c r="H53" s="2"/>
      <c r="I53" s="2"/>
      <c r="J53" s="2"/>
      <c r="K53" s="2"/>
      <c r="L53" s="2"/>
      <c r="M53" s="2"/>
      <c r="O53" s="2" t="s">
        <v>431</v>
      </c>
      <c r="P53" s="2" t="s">
        <v>590</v>
      </c>
      <c r="Q53" s="2">
        <f>MATCH($O53,Phobida_MenuCate!$C$4:$C$31,0)</f>
        <v>7</v>
      </c>
      <c r="R53" s="2">
        <f>MATCH($P53,Phobida_MenuItem!$C$4:$C$111,0)</f>
        <v>50</v>
      </c>
    </row>
    <row r="54" spans="1:18">
      <c r="A54" s="3"/>
      <c r="B54" s="2">
        <v>51</v>
      </c>
      <c r="C54" s="2">
        <v>7</v>
      </c>
      <c r="D54" s="2">
        <v>51</v>
      </c>
      <c r="E54" s="2"/>
      <c r="F54" s="2"/>
      <c r="G54" s="2"/>
      <c r="H54" s="2"/>
      <c r="I54" s="2"/>
      <c r="J54" s="2"/>
      <c r="K54" s="2"/>
      <c r="L54" s="2"/>
      <c r="M54" s="2"/>
      <c r="O54" s="2" t="s">
        <v>431</v>
      </c>
      <c r="P54" s="2" t="s">
        <v>593</v>
      </c>
      <c r="Q54" s="2">
        <f>MATCH($O54,Phobida_MenuCate!$C$4:$C$31,0)</f>
        <v>7</v>
      </c>
      <c r="R54" s="2">
        <f>MATCH($P54,Phobida_MenuItem!$C$4:$C$111,0)</f>
        <v>51</v>
      </c>
    </row>
    <row r="55" spans="1:18">
      <c r="A55" s="3"/>
      <c r="B55" s="2">
        <v>52</v>
      </c>
      <c r="C55" s="2">
        <v>7</v>
      </c>
      <c r="D55" s="2">
        <v>52</v>
      </c>
      <c r="E55" s="2"/>
      <c r="F55" s="2"/>
      <c r="G55" s="2"/>
      <c r="H55" s="2"/>
      <c r="I55" s="2"/>
      <c r="J55" s="2"/>
      <c r="K55" s="2"/>
      <c r="L55" s="2"/>
      <c r="M55" s="2"/>
      <c r="O55" s="2" t="s">
        <v>431</v>
      </c>
      <c r="P55" s="2" t="s">
        <v>596</v>
      </c>
      <c r="Q55" s="2">
        <f>MATCH($O55,Phobida_MenuCate!$C$4:$C$31,0)</f>
        <v>7</v>
      </c>
      <c r="R55" s="2">
        <f>MATCH($P55,Phobida_MenuItem!$C$4:$C$111,0)</f>
        <v>52</v>
      </c>
    </row>
    <row r="56" spans="1:18">
      <c r="A56" s="3"/>
      <c r="B56" s="2">
        <v>53</v>
      </c>
      <c r="C56" s="2">
        <v>7</v>
      </c>
      <c r="D56" s="2">
        <v>53</v>
      </c>
      <c r="E56" s="2"/>
      <c r="F56" s="2"/>
      <c r="G56" s="2"/>
      <c r="H56" s="2"/>
      <c r="I56" s="2"/>
      <c r="J56" s="2"/>
      <c r="K56" s="2"/>
      <c r="L56" s="2"/>
      <c r="M56" s="2"/>
      <c r="O56" s="2" t="s">
        <v>431</v>
      </c>
      <c r="P56" s="2" t="s">
        <v>599</v>
      </c>
      <c r="Q56" s="2">
        <f>MATCH($O56,Phobida_MenuCate!$C$4:$C$31,0)</f>
        <v>7</v>
      </c>
      <c r="R56" s="2">
        <f>MATCH($P56,Phobida_MenuItem!$C$4:$C$111,0)</f>
        <v>53</v>
      </c>
    </row>
    <row r="57" spans="1:18">
      <c r="A57" s="3"/>
      <c r="B57" s="2">
        <v>54</v>
      </c>
      <c r="C57" s="2">
        <v>7</v>
      </c>
      <c r="D57" s="2">
        <v>54</v>
      </c>
      <c r="E57" s="2"/>
      <c r="F57" s="2"/>
      <c r="G57" s="2"/>
      <c r="H57" s="2"/>
      <c r="I57" s="2"/>
      <c r="J57" s="2"/>
      <c r="K57" s="2"/>
      <c r="L57" s="2"/>
      <c r="M57" s="2"/>
      <c r="O57" s="2" t="s">
        <v>431</v>
      </c>
      <c r="P57" s="2" t="s">
        <v>602</v>
      </c>
      <c r="Q57" s="2">
        <f>MATCH($O57,Phobida_MenuCate!$C$4:$C$31,0)</f>
        <v>7</v>
      </c>
      <c r="R57" s="2">
        <f>MATCH($P57,Phobida_MenuItem!$C$4:$C$111,0)</f>
        <v>54</v>
      </c>
    </row>
    <row r="58" spans="1:18">
      <c r="A58" s="3"/>
      <c r="B58" s="2">
        <v>55</v>
      </c>
      <c r="C58" s="2">
        <v>7</v>
      </c>
      <c r="D58" s="2">
        <v>55</v>
      </c>
      <c r="E58" s="2"/>
      <c r="F58" s="2"/>
      <c r="G58" s="2"/>
      <c r="H58" s="2"/>
      <c r="I58" s="2"/>
      <c r="J58" s="2"/>
      <c r="K58" s="2"/>
      <c r="L58" s="2"/>
      <c r="M58" s="2"/>
      <c r="O58" s="2" t="s">
        <v>431</v>
      </c>
      <c r="P58" s="2" t="s">
        <v>605</v>
      </c>
      <c r="Q58" s="2">
        <f>MATCH($O58,Phobida_MenuCate!$C$4:$C$31,0)</f>
        <v>7</v>
      </c>
      <c r="R58" s="2">
        <f>MATCH($P58,Phobida_MenuItem!$C$4:$C$111,0)</f>
        <v>55</v>
      </c>
    </row>
    <row r="59" spans="1:18">
      <c r="A59" s="3"/>
      <c r="B59" s="2">
        <v>56</v>
      </c>
      <c r="C59" s="2">
        <v>7</v>
      </c>
      <c r="D59" s="2">
        <v>56</v>
      </c>
      <c r="E59" s="2"/>
      <c r="F59" s="2"/>
      <c r="G59" s="2"/>
      <c r="H59" s="2"/>
      <c r="I59" s="2"/>
      <c r="J59" s="2"/>
      <c r="K59" s="2"/>
      <c r="L59" s="2"/>
      <c r="M59" s="2"/>
      <c r="O59" s="2" t="s">
        <v>431</v>
      </c>
      <c r="P59" s="2" t="s">
        <v>608</v>
      </c>
      <c r="Q59" s="2">
        <f>MATCH($O59,Phobida_MenuCate!$C$4:$C$31,0)</f>
        <v>7</v>
      </c>
      <c r="R59" s="2">
        <f>MATCH($P59,Phobida_MenuItem!$C$4:$C$111,0)</f>
        <v>56</v>
      </c>
    </row>
    <row r="60" spans="1:18">
      <c r="A60" s="3"/>
      <c r="B60" s="2">
        <v>57</v>
      </c>
      <c r="C60" s="2">
        <v>7</v>
      </c>
      <c r="D60" s="2">
        <v>57</v>
      </c>
      <c r="E60" s="2"/>
      <c r="F60" s="2"/>
      <c r="G60" s="2"/>
      <c r="H60" s="2"/>
      <c r="I60" s="2"/>
      <c r="J60" s="2"/>
      <c r="K60" s="2"/>
      <c r="L60" s="2"/>
      <c r="M60" s="2"/>
      <c r="O60" s="2" t="s">
        <v>431</v>
      </c>
      <c r="P60" s="2" t="s">
        <v>611</v>
      </c>
      <c r="Q60" s="2">
        <f>MATCH($O60,Phobida_MenuCate!$C$4:$C$31,0)</f>
        <v>7</v>
      </c>
      <c r="R60" s="2">
        <f>MATCH($P60,Phobida_MenuItem!$C$4:$C$111,0)</f>
        <v>57</v>
      </c>
    </row>
    <row r="61" spans="1:18">
      <c r="A61" s="3"/>
      <c r="B61" s="2">
        <v>58</v>
      </c>
      <c r="C61" s="2">
        <v>7</v>
      </c>
      <c r="D61" s="2">
        <v>58</v>
      </c>
      <c r="E61" s="2"/>
      <c r="F61" s="2"/>
      <c r="G61" s="2"/>
      <c r="H61" s="2"/>
      <c r="I61" s="2"/>
      <c r="J61" s="2"/>
      <c r="K61" s="2"/>
      <c r="L61" s="2"/>
      <c r="M61" s="2"/>
      <c r="O61" s="2" t="s">
        <v>431</v>
      </c>
      <c r="P61" s="2" t="s">
        <v>614</v>
      </c>
      <c r="Q61" s="2">
        <f>MATCH($O61,Phobida_MenuCate!$C$4:$C$31,0)</f>
        <v>7</v>
      </c>
      <c r="R61" s="2">
        <f>MATCH($P61,Phobida_MenuItem!$C$4:$C$111,0)</f>
        <v>58</v>
      </c>
    </row>
    <row r="62" spans="1:18">
      <c r="A62" s="3"/>
      <c r="B62" s="2">
        <v>59</v>
      </c>
      <c r="C62" s="2">
        <v>7</v>
      </c>
      <c r="D62" s="2">
        <v>59</v>
      </c>
      <c r="E62" s="2"/>
      <c r="F62" s="2"/>
      <c r="G62" s="2"/>
      <c r="H62" s="2"/>
      <c r="I62" s="2"/>
      <c r="J62" s="2"/>
      <c r="K62" s="2"/>
      <c r="L62" s="2"/>
      <c r="M62" s="2"/>
      <c r="O62" s="2" t="s">
        <v>431</v>
      </c>
      <c r="P62" s="2" t="s">
        <v>615</v>
      </c>
      <c r="Q62" s="2">
        <f>MATCH($O62,Phobida_MenuCate!$C$4:$C$31,0)</f>
        <v>7</v>
      </c>
      <c r="R62" s="2">
        <f>MATCH($P62,Phobida_MenuItem!$C$4:$C$111,0)</f>
        <v>59</v>
      </c>
    </row>
    <row r="63" spans="1:18">
      <c r="A63" s="3"/>
      <c r="B63" s="2">
        <v>60</v>
      </c>
      <c r="C63" s="2">
        <v>8</v>
      </c>
      <c r="D63" s="2">
        <v>60</v>
      </c>
      <c r="E63" s="2"/>
      <c r="F63" s="2"/>
      <c r="G63" s="2"/>
      <c r="H63" s="2"/>
      <c r="I63" s="2"/>
      <c r="J63" s="2"/>
      <c r="K63" s="2"/>
      <c r="L63" s="2"/>
      <c r="M63" s="2"/>
      <c r="O63" s="2" t="s">
        <v>431</v>
      </c>
      <c r="P63" s="2" t="s">
        <v>616</v>
      </c>
      <c r="Q63" s="2">
        <f>MATCH($O63,Phobida_MenuCate!$C$4:$C$31,0)</f>
        <v>7</v>
      </c>
      <c r="R63" s="2">
        <f>MATCH($P63,Phobida_MenuItem!$C$4:$C$111,0)</f>
        <v>60</v>
      </c>
    </row>
    <row r="64" spans="1:18">
      <c r="A64" s="3"/>
      <c r="B64" s="2">
        <v>61</v>
      </c>
      <c r="C64" s="2">
        <v>8</v>
      </c>
      <c r="D64" s="2">
        <v>61</v>
      </c>
      <c r="E64" s="2"/>
      <c r="F64" s="2"/>
      <c r="G64" s="2"/>
      <c r="H64" s="2"/>
      <c r="I64" s="2"/>
      <c r="J64" s="2"/>
      <c r="K64" s="2"/>
      <c r="L64" s="2"/>
      <c r="M64" s="2"/>
      <c r="O64" s="2" t="s">
        <v>431</v>
      </c>
      <c r="P64" s="2" t="s">
        <v>617</v>
      </c>
      <c r="Q64" s="2">
        <f>MATCH($O64,Phobida_MenuCate!$C$4:$C$31,0)</f>
        <v>7</v>
      </c>
      <c r="R64" s="2">
        <f>MATCH($P64,Phobida_MenuItem!$C$4:$C$111,0)</f>
        <v>61</v>
      </c>
    </row>
    <row r="65" spans="1:18">
      <c r="A65" s="3"/>
      <c r="B65" s="2">
        <v>62</v>
      </c>
      <c r="C65" s="2">
        <v>8</v>
      </c>
      <c r="D65" s="2">
        <v>62</v>
      </c>
      <c r="E65" s="2"/>
      <c r="F65" s="2"/>
      <c r="G65" s="2"/>
      <c r="H65" s="2"/>
      <c r="I65" s="2"/>
      <c r="J65" s="2"/>
      <c r="K65" s="2"/>
      <c r="L65" s="2"/>
      <c r="M65" s="2"/>
      <c r="O65" s="2" t="s">
        <v>431</v>
      </c>
      <c r="P65" s="2" t="s">
        <v>618</v>
      </c>
      <c r="Q65" s="2">
        <f>MATCH($O65,Phobida_MenuCate!$C$4:$C$31,0)</f>
        <v>7</v>
      </c>
      <c r="R65" s="2">
        <f>MATCH($P65,Phobida_MenuItem!$C$4:$C$111,0)</f>
        <v>62</v>
      </c>
    </row>
    <row r="66" spans="1:18">
      <c r="A66" s="3"/>
      <c r="B66" s="2">
        <v>63</v>
      </c>
      <c r="C66" s="2">
        <v>8</v>
      </c>
      <c r="D66" s="2">
        <v>63</v>
      </c>
      <c r="E66" s="2"/>
      <c r="F66" s="2"/>
      <c r="G66" s="2"/>
      <c r="H66" s="2"/>
      <c r="I66" s="2"/>
      <c r="J66" s="2"/>
      <c r="K66" s="2"/>
      <c r="L66" s="2"/>
      <c r="M66" s="2"/>
      <c r="O66" s="2" t="s">
        <v>433</v>
      </c>
      <c r="P66" s="2" t="s">
        <v>619</v>
      </c>
      <c r="Q66" s="2">
        <f>MATCH($O66,Phobida_MenuCate!$C$4:$C$31,0)</f>
        <v>8</v>
      </c>
      <c r="R66" s="2">
        <f>MATCH($P66,Phobida_MenuItem!$C$4:$C$111,0)</f>
        <v>63</v>
      </c>
    </row>
    <row r="67" spans="1:18">
      <c r="A67" s="3"/>
      <c r="B67" s="2">
        <v>64</v>
      </c>
      <c r="C67" s="2">
        <v>8</v>
      </c>
      <c r="D67" s="2">
        <v>64</v>
      </c>
      <c r="E67" s="2"/>
      <c r="F67" s="2"/>
      <c r="G67" s="2"/>
      <c r="H67" s="2"/>
      <c r="I67" s="2"/>
      <c r="J67" s="2"/>
      <c r="K67" s="2"/>
      <c r="L67" s="2"/>
      <c r="M67" s="2"/>
      <c r="O67" s="2" t="s">
        <v>433</v>
      </c>
      <c r="P67" s="2" t="s">
        <v>620</v>
      </c>
      <c r="Q67" s="2">
        <f>MATCH($O67,Phobida_MenuCate!$C$4:$C$31,0)</f>
        <v>8</v>
      </c>
      <c r="R67" s="2">
        <f>MATCH($P67,Phobida_MenuItem!$C$4:$C$111,0)</f>
        <v>64</v>
      </c>
    </row>
    <row r="68" spans="1:18">
      <c r="A68" s="3"/>
      <c r="B68" s="2">
        <v>65</v>
      </c>
      <c r="C68" s="2">
        <v>8</v>
      </c>
      <c r="D68" s="2">
        <v>65</v>
      </c>
      <c r="E68" s="2"/>
      <c r="F68" s="2"/>
      <c r="G68" s="2"/>
      <c r="H68" s="2"/>
      <c r="I68" s="2"/>
      <c r="J68" s="2"/>
      <c r="K68" s="2"/>
      <c r="L68" s="2"/>
      <c r="M68" s="2"/>
      <c r="O68" s="2" t="s">
        <v>433</v>
      </c>
      <c r="P68" s="2" t="s">
        <v>621</v>
      </c>
      <c r="Q68" s="2">
        <f>MATCH($O68,Phobida_MenuCate!$C$4:$C$31,0)</f>
        <v>8</v>
      </c>
      <c r="R68" s="2">
        <f>MATCH($P68,Phobida_MenuItem!$C$4:$C$111,0)</f>
        <v>65</v>
      </c>
    </row>
    <row r="69" spans="1:18">
      <c r="A69" s="3"/>
      <c r="B69" s="2">
        <v>66</v>
      </c>
      <c r="C69" s="2">
        <v>8</v>
      </c>
      <c r="D69" s="2">
        <v>66</v>
      </c>
      <c r="E69" s="2"/>
      <c r="F69" s="2"/>
      <c r="G69" s="2"/>
      <c r="H69" s="2"/>
      <c r="I69" s="2"/>
      <c r="J69" s="2"/>
      <c r="K69" s="2"/>
      <c r="L69" s="2"/>
      <c r="M69" s="2"/>
      <c r="O69" s="2" t="s">
        <v>433</v>
      </c>
      <c r="P69" s="2" t="s">
        <v>622</v>
      </c>
      <c r="Q69" s="2">
        <f>MATCH($O69,Phobida_MenuCate!$C$4:$C$31,0)</f>
        <v>8</v>
      </c>
      <c r="R69" s="2">
        <f>MATCH($P69,Phobida_MenuItem!$C$4:$C$111,0)</f>
        <v>66</v>
      </c>
    </row>
    <row r="70" spans="1:18">
      <c r="A70" s="3"/>
      <c r="B70" s="2">
        <v>67</v>
      </c>
      <c r="C70" s="2">
        <v>9</v>
      </c>
      <c r="D70" s="2">
        <v>67</v>
      </c>
      <c r="E70" s="2"/>
      <c r="F70" s="2"/>
      <c r="G70" s="2"/>
      <c r="H70" s="2"/>
      <c r="I70" s="2"/>
      <c r="J70" s="2"/>
      <c r="K70" s="2"/>
      <c r="L70" s="2"/>
      <c r="M70" s="2"/>
      <c r="O70" s="2" t="s">
        <v>433</v>
      </c>
      <c r="P70" s="2" t="s">
        <v>623</v>
      </c>
      <c r="Q70" s="2">
        <f>MATCH($O70,Phobida_MenuCate!$C$4:$C$31,0)</f>
        <v>8</v>
      </c>
      <c r="R70" s="2">
        <f>MATCH($P70,Phobida_MenuItem!$C$4:$C$111,0)</f>
        <v>67</v>
      </c>
    </row>
    <row r="71" spans="1:18">
      <c r="A71" s="3"/>
      <c r="B71" s="2">
        <v>68</v>
      </c>
      <c r="C71" s="2">
        <v>9</v>
      </c>
      <c r="D71" s="2">
        <v>68</v>
      </c>
      <c r="E71" s="2"/>
      <c r="F71" s="2"/>
      <c r="G71" s="2"/>
      <c r="H71" s="2"/>
      <c r="I71" s="2"/>
      <c r="J71" s="2"/>
      <c r="K71" s="2"/>
      <c r="L71" s="2"/>
      <c r="M71" s="2"/>
      <c r="O71" s="2" t="s">
        <v>433</v>
      </c>
      <c r="P71" s="2" t="s">
        <v>624</v>
      </c>
      <c r="Q71" s="2">
        <f>MATCH($O71,Phobida_MenuCate!$C$4:$C$31,0)</f>
        <v>8</v>
      </c>
      <c r="R71" s="2">
        <f>MATCH($P71,Phobida_MenuItem!$C$4:$C$111,0)</f>
        <v>68</v>
      </c>
    </row>
    <row r="72" spans="1:18">
      <c r="A72" s="3"/>
      <c r="B72" s="2">
        <v>69</v>
      </c>
      <c r="C72" s="2">
        <v>10</v>
      </c>
      <c r="D72" s="2">
        <v>69</v>
      </c>
      <c r="E72" s="2"/>
      <c r="F72" s="2"/>
      <c r="G72" s="2"/>
      <c r="H72" s="2"/>
      <c r="I72" s="2"/>
      <c r="J72" s="2"/>
      <c r="K72" s="2"/>
      <c r="L72" s="2"/>
      <c r="M72" s="2"/>
      <c r="O72" s="2" t="s">
        <v>433</v>
      </c>
      <c r="P72" s="2" t="s">
        <v>625</v>
      </c>
      <c r="Q72" s="2">
        <f>MATCH($O72,Phobida_MenuCate!$C$4:$C$31,0)</f>
        <v>8</v>
      </c>
      <c r="R72" s="2">
        <f>MATCH($P72,Phobida_MenuItem!$C$4:$C$111,0)</f>
        <v>69</v>
      </c>
    </row>
    <row r="73" spans="1:18">
      <c r="A73" s="3"/>
      <c r="B73" s="2">
        <v>70</v>
      </c>
      <c r="C73" s="2">
        <v>10</v>
      </c>
      <c r="D73" s="2">
        <v>70</v>
      </c>
      <c r="E73" s="2"/>
      <c r="F73" s="2"/>
      <c r="G73" s="2"/>
      <c r="H73" s="2"/>
      <c r="I73" s="2"/>
      <c r="J73" s="2"/>
      <c r="K73" s="2"/>
      <c r="L73" s="2"/>
      <c r="M73" s="2"/>
      <c r="O73" s="2" t="s">
        <v>434</v>
      </c>
      <c r="P73" s="2" t="s">
        <v>626</v>
      </c>
      <c r="Q73" s="2">
        <f>MATCH($O73,Phobida_MenuCate!$C$4:$C$31,0)</f>
        <v>9</v>
      </c>
      <c r="R73" s="2">
        <f>MATCH($P73,Phobida_MenuItem!$C$4:$C$111,0)</f>
        <v>70</v>
      </c>
    </row>
    <row r="74" spans="1:18">
      <c r="A74" s="3"/>
      <c r="B74" s="2">
        <v>71</v>
      </c>
      <c r="C74" s="2">
        <v>10</v>
      </c>
      <c r="D74" s="2">
        <v>71</v>
      </c>
      <c r="E74" s="2"/>
      <c r="F74" s="2"/>
      <c r="G74" s="2"/>
      <c r="H74" s="2"/>
      <c r="I74" s="2"/>
      <c r="J74" s="2"/>
      <c r="K74" s="2"/>
      <c r="L74" s="2"/>
      <c r="M74" s="2"/>
      <c r="O74" s="2" t="s">
        <v>434</v>
      </c>
      <c r="P74" s="2" t="s">
        <v>627</v>
      </c>
      <c r="Q74" s="2">
        <f>MATCH($O74,Phobida_MenuCate!$C$4:$C$31,0)</f>
        <v>9</v>
      </c>
      <c r="R74" s="2">
        <f>MATCH($P74,Phobida_MenuItem!$C$4:$C$111,0)</f>
        <v>71</v>
      </c>
    </row>
    <row r="75" spans="1:18">
      <c r="A75" s="3"/>
      <c r="B75" s="2">
        <v>72</v>
      </c>
      <c r="C75" s="2">
        <v>10</v>
      </c>
      <c r="D75" s="2">
        <v>72</v>
      </c>
      <c r="E75" s="2"/>
      <c r="F75" s="2"/>
      <c r="G75" s="2"/>
      <c r="H75" s="2"/>
      <c r="I75" s="2"/>
      <c r="J75" s="2"/>
      <c r="K75" s="2"/>
      <c r="L75" s="2"/>
      <c r="M75" s="2"/>
      <c r="O75" s="2" t="s">
        <v>436</v>
      </c>
      <c r="P75" s="2" t="s">
        <v>628</v>
      </c>
      <c r="Q75" s="2">
        <f>MATCH($O75,Phobida_MenuCate!$C$4:$C$31,0)</f>
        <v>10</v>
      </c>
      <c r="R75" s="2">
        <f>MATCH($P75,Phobida_MenuItem!$C$4:$C$111,0)</f>
        <v>72</v>
      </c>
    </row>
    <row r="76" spans="1:18">
      <c r="A76" s="3"/>
      <c r="B76" s="2">
        <v>73</v>
      </c>
      <c r="C76" s="2">
        <v>10</v>
      </c>
      <c r="D76" s="2">
        <v>73</v>
      </c>
      <c r="E76" s="2"/>
      <c r="F76" s="2"/>
      <c r="G76" s="2"/>
      <c r="H76" s="2"/>
      <c r="I76" s="2"/>
      <c r="J76" s="2"/>
      <c r="K76" s="2"/>
      <c r="L76" s="2"/>
      <c r="M76" s="2"/>
      <c r="O76" s="2" t="s">
        <v>436</v>
      </c>
      <c r="P76" s="2" t="s">
        <v>629</v>
      </c>
      <c r="Q76" s="2">
        <f>MATCH($O76,Phobida_MenuCate!$C$4:$C$31,0)</f>
        <v>10</v>
      </c>
      <c r="R76" s="2">
        <f>MATCH($P76,Phobida_MenuItem!$C$4:$C$111,0)</f>
        <v>73</v>
      </c>
    </row>
    <row r="77" spans="1:18">
      <c r="A77" s="3"/>
      <c r="B77" s="2">
        <v>74</v>
      </c>
      <c r="C77" s="2">
        <v>10</v>
      </c>
      <c r="D77" s="2">
        <v>74</v>
      </c>
      <c r="E77" s="2"/>
      <c r="F77" s="2"/>
      <c r="G77" s="2"/>
      <c r="H77" s="2"/>
      <c r="I77" s="2"/>
      <c r="J77" s="2"/>
      <c r="K77" s="2"/>
      <c r="L77" s="2"/>
      <c r="M77" s="2"/>
      <c r="O77" s="2" t="s">
        <v>436</v>
      </c>
      <c r="P77" s="2" t="s">
        <v>630</v>
      </c>
      <c r="Q77" s="2">
        <f>MATCH($O77,Phobida_MenuCate!$C$4:$C$31,0)</f>
        <v>10</v>
      </c>
      <c r="R77" s="2">
        <f>MATCH($P77,Phobida_MenuItem!$C$4:$C$111,0)</f>
        <v>74</v>
      </c>
    </row>
    <row r="78" spans="1:18">
      <c r="A78" s="3"/>
      <c r="B78" s="2">
        <v>75</v>
      </c>
      <c r="C78" s="2">
        <v>10</v>
      </c>
      <c r="D78" s="2">
        <v>75</v>
      </c>
      <c r="E78" s="2"/>
      <c r="F78" s="2"/>
      <c r="G78" s="2"/>
      <c r="H78" s="2"/>
      <c r="I78" s="2"/>
      <c r="J78" s="2"/>
      <c r="K78" s="2"/>
      <c r="L78" s="2"/>
      <c r="M78" s="2"/>
      <c r="O78" s="2" t="s">
        <v>436</v>
      </c>
      <c r="P78" s="2" t="s">
        <v>631</v>
      </c>
      <c r="Q78" s="2">
        <f>MATCH($O78,Phobida_MenuCate!$C$4:$C$31,0)</f>
        <v>10</v>
      </c>
      <c r="R78" s="2">
        <f>MATCH($P78,Phobida_MenuItem!$C$4:$C$111,0)</f>
        <v>75</v>
      </c>
    </row>
    <row r="79" spans="1:18">
      <c r="A79" s="3"/>
      <c r="B79" s="2">
        <v>76</v>
      </c>
      <c r="C79" s="2">
        <v>10</v>
      </c>
      <c r="D79" s="2">
        <v>76</v>
      </c>
      <c r="E79" s="2"/>
      <c r="F79" s="2"/>
      <c r="G79" s="2"/>
      <c r="H79" s="2"/>
      <c r="I79" s="2"/>
      <c r="J79" s="2"/>
      <c r="K79" s="2"/>
      <c r="L79" s="2"/>
      <c r="M79" s="2"/>
      <c r="O79" s="2" t="s">
        <v>436</v>
      </c>
      <c r="P79" s="2" t="s">
        <v>632</v>
      </c>
      <c r="Q79" s="2">
        <f>MATCH($O79,Phobida_MenuCate!$C$4:$C$31,0)</f>
        <v>10</v>
      </c>
      <c r="R79" s="2">
        <f>MATCH($P79,Phobida_MenuItem!$C$4:$C$111,0)</f>
        <v>76</v>
      </c>
    </row>
    <row r="80" spans="1:18">
      <c r="A80" s="3"/>
      <c r="B80" s="2">
        <v>77</v>
      </c>
      <c r="C80" s="2">
        <v>10</v>
      </c>
      <c r="D80" s="2">
        <v>77</v>
      </c>
      <c r="E80" s="2"/>
      <c r="F80" s="2"/>
      <c r="G80" s="2"/>
      <c r="H80" s="2"/>
      <c r="I80" s="2"/>
      <c r="J80" s="2"/>
      <c r="K80" s="2"/>
      <c r="L80" s="2"/>
      <c r="M80" s="2"/>
      <c r="O80" s="2" t="s">
        <v>436</v>
      </c>
      <c r="P80" s="2" t="s">
        <v>633</v>
      </c>
      <c r="Q80" s="2">
        <f>MATCH($O80,Phobida_MenuCate!$C$4:$C$31,0)</f>
        <v>10</v>
      </c>
      <c r="R80" s="2">
        <f>MATCH($P80,Phobida_MenuItem!$C$4:$C$111,0)</f>
        <v>77</v>
      </c>
    </row>
    <row r="81" spans="1:18">
      <c r="A81" s="3"/>
      <c r="B81" s="2">
        <v>78</v>
      </c>
      <c r="C81" s="2">
        <v>11</v>
      </c>
      <c r="D81" s="2">
        <v>78</v>
      </c>
      <c r="E81" s="2"/>
      <c r="F81" s="2"/>
      <c r="G81" s="2"/>
      <c r="H81" s="2"/>
      <c r="I81" s="2"/>
      <c r="J81" s="2"/>
      <c r="K81" s="2"/>
      <c r="L81" s="2"/>
      <c r="M81" s="2"/>
      <c r="O81" s="2" t="s">
        <v>436</v>
      </c>
      <c r="P81" s="2" t="s">
        <v>634</v>
      </c>
      <c r="Q81" s="2">
        <f>MATCH($O81,Phobida_MenuCate!$C$4:$C$31,0)</f>
        <v>10</v>
      </c>
      <c r="R81" s="2">
        <f>MATCH($P81,Phobida_MenuItem!$C$4:$C$111,0)</f>
        <v>78</v>
      </c>
    </row>
    <row r="82" spans="1:18">
      <c r="A82" s="3"/>
      <c r="B82" s="2">
        <v>79</v>
      </c>
      <c r="C82" s="2">
        <v>11</v>
      </c>
      <c r="D82" s="2">
        <v>79</v>
      </c>
      <c r="E82" s="2"/>
      <c r="F82" s="2"/>
      <c r="G82" s="2"/>
      <c r="H82" s="2"/>
      <c r="I82" s="2"/>
      <c r="J82" s="2"/>
      <c r="K82" s="2"/>
      <c r="L82" s="2"/>
      <c r="M82" s="2"/>
      <c r="O82" s="2" t="s">
        <v>436</v>
      </c>
      <c r="P82" s="2" t="s">
        <v>635</v>
      </c>
      <c r="Q82" s="2">
        <f>MATCH($O82,Phobida_MenuCate!$C$4:$C$31,0)</f>
        <v>10</v>
      </c>
      <c r="R82" s="2">
        <f>MATCH($P82,Phobida_MenuItem!$C$4:$C$111,0)</f>
        <v>79</v>
      </c>
    </row>
    <row r="83" spans="1:18">
      <c r="A83" s="3"/>
      <c r="B83" s="2">
        <v>80</v>
      </c>
      <c r="C83" s="2">
        <v>11</v>
      </c>
      <c r="D83" s="2">
        <v>80</v>
      </c>
      <c r="E83" s="2"/>
      <c r="F83" s="2"/>
      <c r="G83" s="2"/>
      <c r="H83" s="2"/>
      <c r="I83" s="2"/>
      <c r="J83" s="2"/>
      <c r="K83" s="2"/>
      <c r="L83" s="2"/>
      <c r="M83" s="2"/>
      <c r="O83" s="2" t="s">
        <v>436</v>
      </c>
      <c r="P83" s="2" t="s">
        <v>636</v>
      </c>
      <c r="Q83" s="2">
        <f>MATCH($O83,Phobida_MenuCate!$C$4:$C$31,0)</f>
        <v>10</v>
      </c>
      <c r="R83" s="2">
        <f>MATCH($P83,Phobida_MenuItem!$C$4:$C$111,0)</f>
        <v>80</v>
      </c>
    </row>
    <row r="84" spans="1:18">
      <c r="A84" s="3"/>
      <c r="B84" s="2">
        <v>81</v>
      </c>
      <c r="C84" s="2">
        <v>11</v>
      </c>
      <c r="D84" s="2">
        <v>81</v>
      </c>
      <c r="E84" s="2"/>
      <c r="F84" s="2"/>
      <c r="G84" s="2"/>
      <c r="H84" s="2"/>
      <c r="I84" s="2"/>
      <c r="J84" s="2"/>
      <c r="K84" s="2"/>
      <c r="L84" s="2"/>
      <c r="M84" s="2"/>
      <c r="O84" s="2" t="s">
        <v>438</v>
      </c>
      <c r="P84" s="2" t="s">
        <v>637</v>
      </c>
      <c r="Q84" s="2">
        <f>MATCH($O84,Phobida_MenuCate!$C$4:$C$31,0)</f>
        <v>11</v>
      </c>
      <c r="R84" s="2">
        <f>MATCH($P84,Phobida_MenuItem!$C$4:$C$111,0)</f>
        <v>81</v>
      </c>
    </row>
    <row r="85" spans="1:18">
      <c r="A85" s="3"/>
      <c r="B85" s="2">
        <v>82</v>
      </c>
      <c r="C85" s="2">
        <v>12</v>
      </c>
      <c r="D85" s="2">
        <v>82</v>
      </c>
      <c r="E85" s="2"/>
      <c r="F85" s="2"/>
      <c r="G85" s="2"/>
      <c r="H85" s="2"/>
      <c r="I85" s="2"/>
      <c r="J85" s="2"/>
      <c r="K85" s="2"/>
      <c r="L85" s="2"/>
      <c r="M85" s="2"/>
      <c r="O85" s="2" t="s">
        <v>438</v>
      </c>
      <c r="P85" s="2" t="s">
        <v>638</v>
      </c>
      <c r="Q85" s="2">
        <f>MATCH($O85,Phobida_MenuCate!$C$4:$C$31,0)</f>
        <v>11</v>
      </c>
      <c r="R85" s="2">
        <f>MATCH($P85,Phobida_MenuItem!$C$4:$C$111,0)</f>
        <v>82</v>
      </c>
    </row>
    <row r="86" spans="1:18">
      <c r="A86" s="3"/>
      <c r="B86" s="2">
        <v>83</v>
      </c>
      <c r="C86" s="2">
        <v>12</v>
      </c>
      <c r="D86" s="2">
        <v>83</v>
      </c>
      <c r="E86" s="2"/>
      <c r="F86" s="2"/>
      <c r="G86" s="2"/>
      <c r="H86" s="2"/>
      <c r="I86" s="2"/>
      <c r="J86" s="2"/>
      <c r="K86" s="2"/>
      <c r="L86" s="2"/>
      <c r="M86" s="2"/>
      <c r="O86" s="2" t="s">
        <v>438</v>
      </c>
      <c r="P86" s="2" t="s">
        <v>639</v>
      </c>
      <c r="Q86" s="2">
        <f>MATCH($O86,Phobida_MenuCate!$C$4:$C$31,0)</f>
        <v>11</v>
      </c>
      <c r="R86" s="2">
        <f>MATCH($P86,Phobida_MenuItem!$C$4:$C$111,0)</f>
        <v>83</v>
      </c>
    </row>
    <row r="87" spans="1:18">
      <c r="A87" s="3"/>
      <c r="B87" s="2">
        <v>84</v>
      </c>
      <c r="C87" s="2">
        <v>12</v>
      </c>
      <c r="D87" s="2">
        <v>84</v>
      </c>
      <c r="E87" s="2"/>
      <c r="F87" s="2"/>
      <c r="G87" s="2"/>
      <c r="H87" s="2"/>
      <c r="I87" s="2"/>
      <c r="J87" s="2"/>
      <c r="K87" s="2"/>
      <c r="L87" s="2"/>
      <c r="M87" s="2"/>
      <c r="O87" s="2" t="s">
        <v>438</v>
      </c>
      <c r="P87" s="2" t="s">
        <v>640</v>
      </c>
      <c r="Q87" s="2">
        <f>MATCH($O87,Phobida_MenuCate!$C$4:$C$31,0)</f>
        <v>11</v>
      </c>
      <c r="R87" s="2">
        <f>MATCH($P87,Phobida_MenuItem!$C$4:$C$111,0)</f>
        <v>84</v>
      </c>
    </row>
    <row r="88" spans="1:18">
      <c r="A88" s="3"/>
      <c r="B88" s="2">
        <v>85</v>
      </c>
      <c r="C88" s="2">
        <v>12</v>
      </c>
      <c r="D88" s="2">
        <v>85</v>
      </c>
      <c r="E88" s="2"/>
      <c r="F88" s="2"/>
      <c r="G88" s="2"/>
      <c r="H88" s="2"/>
      <c r="I88" s="2"/>
      <c r="J88" s="2"/>
      <c r="K88" s="2"/>
      <c r="L88" s="2"/>
      <c r="M88" s="2"/>
      <c r="O88" s="2" t="s">
        <v>440</v>
      </c>
      <c r="P88" s="2" t="s">
        <v>641</v>
      </c>
      <c r="Q88" s="2">
        <f>MATCH($O88,Phobida_MenuCate!$C$4:$C$31,0)</f>
        <v>12</v>
      </c>
      <c r="R88" s="2">
        <f>MATCH($P88,Phobida_MenuItem!$C$4:$C$111,0)</f>
        <v>85</v>
      </c>
    </row>
    <row r="89" spans="1:18">
      <c r="A89" s="3"/>
      <c r="B89" s="2">
        <v>86</v>
      </c>
      <c r="C89" s="2">
        <v>12</v>
      </c>
      <c r="D89" s="2">
        <v>86</v>
      </c>
      <c r="E89" s="2"/>
      <c r="F89" s="2"/>
      <c r="G89" s="2"/>
      <c r="H89" s="2"/>
      <c r="I89" s="2"/>
      <c r="J89" s="2"/>
      <c r="K89" s="2"/>
      <c r="L89" s="2"/>
      <c r="M89" s="2"/>
      <c r="O89" s="2" t="s">
        <v>440</v>
      </c>
      <c r="P89" s="2" t="s">
        <v>643</v>
      </c>
      <c r="Q89" s="2">
        <f>MATCH($O89,Phobida_MenuCate!$C$4:$C$31,0)</f>
        <v>12</v>
      </c>
      <c r="R89" s="2">
        <f>MATCH($P89,Phobida_MenuItem!$C$4:$C$111,0)</f>
        <v>86</v>
      </c>
    </row>
    <row r="90" spans="1:18">
      <c r="A90" s="3"/>
      <c r="B90" s="2">
        <v>87</v>
      </c>
      <c r="C90" s="2">
        <v>12</v>
      </c>
      <c r="D90" s="2">
        <v>87</v>
      </c>
      <c r="E90" s="2"/>
      <c r="F90" s="2"/>
      <c r="G90" s="2"/>
      <c r="H90" s="2"/>
      <c r="I90" s="2"/>
      <c r="J90" s="2"/>
      <c r="K90" s="2"/>
      <c r="L90" s="2"/>
      <c r="M90" s="2"/>
      <c r="O90" s="2" t="s">
        <v>440</v>
      </c>
      <c r="P90" s="2" t="s">
        <v>646</v>
      </c>
      <c r="Q90" s="2">
        <f>MATCH($O90,Phobida_MenuCate!$C$4:$C$31,0)</f>
        <v>12</v>
      </c>
      <c r="R90" s="2">
        <f>MATCH($P90,Phobida_MenuItem!$C$4:$C$111,0)</f>
        <v>87</v>
      </c>
    </row>
    <row r="91" spans="1:18">
      <c r="A91" s="3"/>
      <c r="B91" s="2">
        <v>88</v>
      </c>
      <c r="C91" s="2">
        <v>13</v>
      </c>
      <c r="D91" s="2">
        <v>88</v>
      </c>
      <c r="E91" s="2"/>
      <c r="F91" s="2"/>
      <c r="G91" s="2"/>
      <c r="H91" s="2"/>
      <c r="I91" s="2"/>
      <c r="J91" s="2"/>
      <c r="K91" s="2"/>
      <c r="L91" s="2"/>
      <c r="M91" s="2"/>
      <c r="O91" s="2" t="s">
        <v>440</v>
      </c>
      <c r="P91" s="2" t="s">
        <v>648</v>
      </c>
      <c r="Q91" s="2">
        <f>MATCH($O91,Phobida_MenuCate!$C$4:$C$31,0)</f>
        <v>12</v>
      </c>
      <c r="R91" s="2">
        <f>MATCH($P91,Phobida_MenuItem!$C$4:$C$111,0)</f>
        <v>88</v>
      </c>
    </row>
    <row r="92" spans="1:18">
      <c r="A92" s="3"/>
      <c r="B92" s="2">
        <v>89</v>
      </c>
      <c r="C92" s="2">
        <v>13</v>
      </c>
      <c r="D92" s="2">
        <v>89</v>
      </c>
      <c r="E92" s="2"/>
      <c r="F92" s="2"/>
      <c r="G92" s="2"/>
      <c r="H92" s="2"/>
      <c r="I92" s="2"/>
      <c r="J92" s="2"/>
      <c r="K92" s="2"/>
      <c r="L92" s="2"/>
      <c r="M92" s="2"/>
      <c r="O92" s="2" t="s">
        <v>440</v>
      </c>
      <c r="P92" s="2" t="s">
        <v>650</v>
      </c>
      <c r="Q92" s="2">
        <f>MATCH($O92,Phobida_MenuCate!$C$4:$C$31,0)</f>
        <v>12</v>
      </c>
      <c r="R92" s="2">
        <f>MATCH($P92,Phobida_MenuItem!$C$4:$C$111,0)</f>
        <v>89</v>
      </c>
    </row>
    <row r="93" spans="1:18">
      <c r="A93" s="3"/>
      <c r="B93" s="2">
        <v>90</v>
      </c>
      <c r="C93" s="2">
        <v>14</v>
      </c>
      <c r="D93" s="2">
        <v>90</v>
      </c>
      <c r="E93" s="2"/>
      <c r="F93" s="2"/>
      <c r="G93" s="2"/>
      <c r="H93" s="2"/>
      <c r="I93" s="2"/>
      <c r="J93" s="2"/>
      <c r="K93" s="2"/>
      <c r="L93" s="2"/>
      <c r="M93" s="2"/>
      <c r="O93" s="2" t="s">
        <v>440</v>
      </c>
      <c r="P93" s="2" t="s">
        <v>653</v>
      </c>
      <c r="Q93" s="2">
        <f>MATCH($O93,Phobida_MenuCate!$C$4:$C$31,0)</f>
        <v>12</v>
      </c>
      <c r="R93" s="2">
        <f>MATCH($P93,Phobida_MenuItem!$C$4:$C$111,0)</f>
        <v>90</v>
      </c>
    </row>
    <row r="94" spans="1:18">
      <c r="A94" s="3"/>
      <c r="B94" s="2">
        <v>91</v>
      </c>
      <c r="C94" s="2">
        <v>14</v>
      </c>
      <c r="D94" s="2">
        <v>91</v>
      </c>
      <c r="E94" s="2"/>
      <c r="F94" s="2"/>
      <c r="G94" s="2"/>
      <c r="H94" s="2"/>
      <c r="I94" s="2"/>
      <c r="J94" s="2"/>
      <c r="K94" s="2"/>
      <c r="L94" s="2"/>
      <c r="M94" s="2"/>
      <c r="O94" s="2" t="s">
        <v>441</v>
      </c>
      <c r="P94" s="2" t="s">
        <v>655</v>
      </c>
      <c r="Q94" s="2">
        <f>MATCH($O94,Phobida_MenuCate!$C$4:$C$31,0)</f>
        <v>13</v>
      </c>
      <c r="R94" s="2">
        <f>MATCH($P94,Phobida_MenuItem!$C$4:$C$111,0)</f>
        <v>91</v>
      </c>
    </row>
    <row r="95" spans="1:18">
      <c r="A95" s="3"/>
      <c r="B95" s="2">
        <v>92</v>
      </c>
      <c r="C95" s="2">
        <v>14</v>
      </c>
      <c r="D95" s="2">
        <v>92</v>
      </c>
      <c r="E95" s="2"/>
      <c r="F95" s="2"/>
      <c r="G95" s="2"/>
      <c r="H95" s="2"/>
      <c r="I95" s="2"/>
      <c r="J95" s="2"/>
      <c r="K95" s="2"/>
      <c r="L95" s="2"/>
      <c r="M95" s="2"/>
      <c r="O95" s="2" t="s">
        <v>441</v>
      </c>
      <c r="P95" s="2" t="s">
        <v>658</v>
      </c>
      <c r="Q95" s="2">
        <f>MATCH($O95,Phobida_MenuCate!$C$4:$C$31,0)</f>
        <v>13</v>
      </c>
      <c r="R95" s="2">
        <f>MATCH($P95,Phobida_MenuItem!$C$4:$C$111,0)</f>
        <v>92</v>
      </c>
    </row>
    <row r="96" spans="1:18">
      <c r="A96" s="3"/>
      <c r="B96" s="2">
        <v>93</v>
      </c>
      <c r="C96" s="2">
        <v>14</v>
      </c>
      <c r="D96" s="2">
        <v>93</v>
      </c>
      <c r="E96" s="2"/>
      <c r="F96" s="2"/>
      <c r="G96" s="2"/>
      <c r="H96" s="2"/>
      <c r="I96" s="2"/>
      <c r="J96" s="2"/>
      <c r="K96" s="2"/>
      <c r="L96" s="2"/>
      <c r="M96" s="2"/>
      <c r="O96" s="2" t="s">
        <v>443</v>
      </c>
      <c r="P96" s="2" t="s">
        <v>661</v>
      </c>
      <c r="Q96" s="2">
        <f>MATCH($O96,Phobida_MenuCate!$C$4:$C$31,0)</f>
        <v>14</v>
      </c>
      <c r="R96" s="2">
        <f>MATCH($P96,Phobida_MenuItem!$C$4:$C$111,0)</f>
        <v>93</v>
      </c>
    </row>
    <row r="97" spans="1:18">
      <c r="A97" s="3"/>
      <c r="B97" s="2">
        <v>94</v>
      </c>
      <c r="C97" s="2">
        <v>15</v>
      </c>
      <c r="D97" s="2">
        <v>94</v>
      </c>
      <c r="E97" s="2"/>
      <c r="F97" s="2"/>
      <c r="G97" s="2"/>
      <c r="H97" s="2"/>
      <c r="I97" s="2"/>
      <c r="J97" s="2"/>
      <c r="K97" s="2"/>
      <c r="L97" s="2"/>
      <c r="M97" s="2"/>
      <c r="O97" s="2" t="s">
        <v>443</v>
      </c>
      <c r="P97" s="2" t="s">
        <v>664</v>
      </c>
      <c r="Q97" s="2">
        <f>MATCH($O97,Phobida_MenuCate!$C$4:$C$31,0)</f>
        <v>14</v>
      </c>
      <c r="R97" s="2">
        <f>MATCH($P97,Phobida_MenuItem!$C$4:$C$111,0)</f>
        <v>94</v>
      </c>
    </row>
    <row r="98" spans="1:18">
      <c r="A98" s="3"/>
      <c r="B98" s="2">
        <v>95</v>
      </c>
      <c r="C98" s="2">
        <v>15</v>
      </c>
      <c r="D98" s="2">
        <v>95</v>
      </c>
      <c r="E98" s="2"/>
      <c r="F98" s="2"/>
      <c r="G98" s="2"/>
      <c r="H98" s="2"/>
      <c r="I98" s="2"/>
      <c r="J98" s="2"/>
      <c r="K98" s="2"/>
      <c r="L98" s="2"/>
      <c r="M98" s="2"/>
      <c r="O98" s="2" t="s">
        <v>443</v>
      </c>
      <c r="P98" s="2" t="s">
        <v>667</v>
      </c>
      <c r="Q98" s="2">
        <f>MATCH($O98,Phobida_MenuCate!$C$4:$C$31,0)</f>
        <v>14</v>
      </c>
      <c r="R98" s="2">
        <f>MATCH($P98,Phobida_MenuItem!$C$4:$C$111,0)</f>
        <v>95</v>
      </c>
    </row>
    <row r="99" spans="1:18">
      <c r="A99" s="3"/>
      <c r="B99" s="2">
        <v>96</v>
      </c>
      <c r="C99" s="2">
        <v>15</v>
      </c>
      <c r="D99" s="2">
        <v>96</v>
      </c>
      <c r="E99" s="2"/>
      <c r="F99" s="2"/>
      <c r="G99" s="2"/>
      <c r="H99" s="2"/>
      <c r="I99" s="2"/>
      <c r="J99" s="2"/>
      <c r="K99" s="2"/>
      <c r="L99" s="2"/>
      <c r="M99" s="2"/>
      <c r="O99" s="2" t="s">
        <v>443</v>
      </c>
      <c r="P99" s="2" t="s">
        <v>670</v>
      </c>
      <c r="Q99" s="2">
        <f>MATCH($O99,Phobida_MenuCate!$C$4:$C$31,0)</f>
        <v>14</v>
      </c>
      <c r="R99" s="2">
        <f>MATCH($P99,Phobida_MenuItem!$C$4:$C$111,0)</f>
        <v>96</v>
      </c>
    </row>
    <row r="100" spans="1:18">
      <c r="A100" s="3"/>
      <c r="B100" s="2">
        <v>97</v>
      </c>
      <c r="C100" s="2">
        <v>15</v>
      </c>
      <c r="D100" s="2">
        <v>97</v>
      </c>
      <c r="E100" s="2"/>
      <c r="F100" s="2"/>
      <c r="G100" s="2"/>
      <c r="H100" s="2"/>
      <c r="I100" s="2"/>
      <c r="J100" s="2"/>
      <c r="K100" s="2"/>
      <c r="L100" s="2"/>
      <c r="M100" s="2"/>
      <c r="O100" s="2" t="s">
        <v>444</v>
      </c>
      <c r="P100" s="2" t="s">
        <v>673</v>
      </c>
      <c r="Q100" s="2">
        <f>MATCH($O100,Phobida_MenuCate!$C$4:$C$31,0)</f>
        <v>15</v>
      </c>
      <c r="R100" s="2">
        <f>MATCH($P100,Phobida_MenuItem!$C$4:$C$111,0)</f>
        <v>97</v>
      </c>
    </row>
    <row r="101" spans="1:18">
      <c r="A101" s="3"/>
      <c r="B101" s="2">
        <v>98</v>
      </c>
      <c r="C101" s="2">
        <v>15</v>
      </c>
      <c r="D101" s="2">
        <v>98</v>
      </c>
      <c r="E101" s="2"/>
      <c r="F101" s="2"/>
      <c r="G101" s="2"/>
      <c r="H101" s="2"/>
      <c r="I101" s="2"/>
      <c r="J101" s="2"/>
      <c r="K101" s="2"/>
      <c r="L101" s="2"/>
      <c r="M101" s="2"/>
      <c r="O101" s="2" t="s">
        <v>444</v>
      </c>
      <c r="P101" s="2" t="s">
        <v>676</v>
      </c>
      <c r="Q101" s="2">
        <f>MATCH($O101,Phobida_MenuCate!$C$4:$C$31,0)</f>
        <v>15</v>
      </c>
      <c r="R101" s="2">
        <f>MATCH($P101,Phobida_MenuItem!$C$4:$C$111,0)</f>
        <v>98</v>
      </c>
    </row>
    <row r="102" spans="1:18">
      <c r="A102" s="3"/>
      <c r="B102" s="2">
        <v>99</v>
      </c>
      <c r="C102" s="2">
        <v>15</v>
      </c>
      <c r="D102" s="2">
        <v>99</v>
      </c>
      <c r="E102" s="2"/>
      <c r="F102" s="2"/>
      <c r="G102" s="2"/>
      <c r="H102" s="2"/>
      <c r="I102" s="2"/>
      <c r="J102" s="2"/>
      <c r="K102" s="2"/>
      <c r="L102" s="2"/>
      <c r="M102" s="2"/>
      <c r="O102" s="2" t="s">
        <v>444</v>
      </c>
      <c r="P102" s="2" t="s">
        <v>679</v>
      </c>
      <c r="Q102" s="2">
        <f>MATCH($O102,Phobida_MenuCate!$C$4:$C$31,0)</f>
        <v>15</v>
      </c>
      <c r="R102" s="2">
        <f>MATCH($P102,Phobida_MenuItem!$C$4:$C$111,0)</f>
        <v>99</v>
      </c>
    </row>
    <row r="103" spans="1:18">
      <c r="A103" s="3"/>
      <c r="B103" s="2">
        <v>100</v>
      </c>
      <c r="C103" s="2">
        <v>15</v>
      </c>
      <c r="D103" s="2">
        <v>100</v>
      </c>
      <c r="E103" s="2"/>
      <c r="F103" s="2"/>
      <c r="G103" s="2"/>
      <c r="H103" s="2"/>
      <c r="I103" s="2"/>
      <c r="J103" s="2"/>
      <c r="K103" s="2"/>
      <c r="L103" s="2"/>
      <c r="M103" s="2"/>
      <c r="O103" s="2" t="s">
        <v>444</v>
      </c>
      <c r="P103" s="2" t="s">
        <v>682</v>
      </c>
      <c r="Q103" s="2">
        <f>MATCH($O103,Phobida_MenuCate!$C$4:$C$31,0)</f>
        <v>15</v>
      </c>
      <c r="R103" s="2">
        <f>MATCH($P103,Phobida_MenuItem!$C$4:$C$111,0)</f>
        <v>100</v>
      </c>
    </row>
    <row r="104" spans="1:18">
      <c r="A104" s="3"/>
      <c r="B104" s="2">
        <v>101</v>
      </c>
      <c r="C104" s="2">
        <v>16</v>
      </c>
      <c r="D104" s="2">
        <v>101</v>
      </c>
      <c r="E104" s="2"/>
      <c r="F104" s="2"/>
      <c r="G104" s="2"/>
      <c r="H104" s="2"/>
      <c r="I104" s="2"/>
      <c r="J104" s="2"/>
      <c r="K104" s="2"/>
      <c r="L104" s="2"/>
      <c r="M104" s="2"/>
      <c r="O104" s="2" t="s">
        <v>444</v>
      </c>
      <c r="P104" s="2" t="s">
        <v>685</v>
      </c>
      <c r="Q104" s="2">
        <f>MATCH($O104,Phobida_MenuCate!$C$4:$C$31,0)</f>
        <v>15</v>
      </c>
      <c r="R104" s="2">
        <f>MATCH($P104,Phobida_MenuItem!$C$4:$C$111,0)</f>
        <v>101</v>
      </c>
    </row>
    <row r="105" spans="1:18">
      <c r="A105" s="3"/>
      <c r="B105" s="2">
        <v>102</v>
      </c>
      <c r="C105" s="2">
        <v>16</v>
      </c>
      <c r="D105" s="2">
        <v>102</v>
      </c>
      <c r="E105" s="2"/>
      <c r="F105" s="2"/>
      <c r="G105" s="2"/>
      <c r="H105" s="2"/>
      <c r="I105" s="2"/>
      <c r="J105" s="2"/>
      <c r="K105" s="2"/>
      <c r="L105" s="2"/>
      <c r="M105" s="2"/>
      <c r="O105" s="2" t="s">
        <v>444</v>
      </c>
      <c r="P105" s="2" t="s">
        <v>688</v>
      </c>
      <c r="Q105" s="2">
        <f>MATCH($O105,Phobida_MenuCate!$C$4:$C$31,0)</f>
        <v>15</v>
      </c>
      <c r="R105" s="2">
        <f>MATCH($P105,Phobida_MenuItem!$C$4:$C$111,0)</f>
        <v>102</v>
      </c>
    </row>
    <row r="106" spans="1:18">
      <c r="A106" s="3"/>
      <c r="B106" s="2">
        <v>103</v>
      </c>
      <c r="C106" s="2">
        <v>16</v>
      </c>
      <c r="D106" s="2">
        <v>103</v>
      </c>
      <c r="E106" s="2"/>
      <c r="F106" s="2"/>
      <c r="G106" s="2"/>
      <c r="H106" s="2"/>
      <c r="I106" s="2"/>
      <c r="J106" s="2"/>
      <c r="K106" s="2"/>
      <c r="L106" s="2"/>
      <c r="M106" s="2"/>
      <c r="O106" s="2" t="s">
        <v>444</v>
      </c>
      <c r="P106" s="2" t="s">
        <v>691</v>
      </c>
      <c r="Q106" s="2">
        <f>MATCH($O106,Phobida_MenuCate!$C$4:$C$31,0)</f>
        <v>15</v>
      </c>
      <c r="R106" s="2">
        <f>MATCH($P106,Phobida_MenuItem!$C$4:$C$111,0)</f>
        <v>103</v>
      </c>
    </row>
    <row r="107" spans="1:18">
      <c r="A107" s="3"/>
      <c r="B107" s="2">
        <v>104</v>
      </c>
      <c r="C107" s="2">
        <v>16</v>
      </c>
      <c r="D107" s="2">
        <v>104</v>
      </c>
      <c r="E107" s="2"/>
      <c r="F107" s="2"/>
      <c r="G107" s="2"/>
      <c r="H107" s="2"/>
      <c r="I107" s="2"/>
      <c r="J107" s="2"/>
      <c r="K107" s="2"/>
      <c r="L107" s="2"/>
      <c r="M107" s="2"/>
      <c r="O107" s="2" t="s">
        <v>446</v>
      </c>
      <c r="P107" s="2" t="s">
        <v>694</v>
      </c>
      <c r="Q107" s="2">
        <f>MATCH($O107,Phobida_MenuCate!$C$4:$C$31,0)</f>
        <v>16</v>
      </c>
      <c r="R107" s="2">
        <f>MATCH($P107,Phobida_MenuItem!$C$4:$C$111,0)</f>
        <v>104</v>
      </c>
    </row>
    <row r="108" spans="1:18">
      <c r="A108" s="3"/>
      <c r="B108" s="2">
        <v>105</v>
      </c>
      <c r="C108" s="2">
        <v>16</v>
      </c>
      <c r="D108" s="2">
        <v>105</v>
      </c>
      <c r="E108" s="2"/>
      <c r="F108" s="2"/>
      <c r="G108" s="2"/>
      <c r="H108" s="2"/>
      <c r="I108" s="2"/>
      <c r="J108" s="2"/>
      <c r="K108" s="2"/>
      <c r="L108" s="2"/>
      <c r="M108" s="2"/>
      <c r="O108" s="2" t="s">
        <v>446</v>
      </c>
      <c r="P108" s="2" t="s">
        <v>696</v>
      </c>
      <c r="Q108" s="2">
        <f>MATCH($O108,Phobida_MenuCate!$C$4:$C$31,0)</f>
        <v>16</v>
      </c>
      <c r="R108" s="2">
        <f>MATCH($P108,Phobida_MenuItem!$C$4:$C$111,0)</f>
        <v>105</v>
      </c>
    </row>
    <row r="109" spans="1:18">
      <c r="A109" s="3"/>
      <c r="B109" s="2">
        <v>106</v>
      </c>
      <c r="C109" s="2">
        <v>16</v>
      </c>
      <c r="D109" s="2">
        <v>106</v>
      </c>
      <c r="E109" s="2"/>
      <c r="F109" s="2"/>
      <c r="G109" s="2"/>
      <c r="H109" s="2"/>
      <c r="I109" s="2"/>
      <c r="J109" s="2"/>
      <c r="K109" s="2"/>
      <c r="L109" s="2"/>
      <c r="M109" s="2"/>
      <c r="O109" s="2" t="s">
        <v>446</v>
      </c>
      <c r="P109" s="2" t="s">
        <v>699</v>
      </c>
      <c r="Q109" s="2">
        <f>MATCH($O109,Phobida_MenuCate!$C$4:$C$31,0)</f>
        <v>16</v>
      </c>
      <c r="R109" s="2">
        <f>MATCH($P109,Phobida_MenuItem!$C$4:$C$111,0)</f>
        <v>106</v>
      </c>
    </row>
    <row r="110" spans="1:18">
      <c r="A110" s="3"/>
      <c r="B110" s="2">
        <v>107</v>
      </c>
      <c r="C110" s="2">
        <v>16</v>
      </c>
      <c r="D110" s="2">
        <v>107</v>
      </c>
      <c r="E110" s="2"/>
      <c r="F110" s="2"/>
      <c r="G110" s="2"/>
      <c r="H110" s="2"/>
      <c r="I110" s="2"/>
      <c r="J110" s="2"/>
      <c r="K110" s="2"/>
      <c r="L110" s="2"/>
      <c r="M110" s="2"/>
      <c r="O110" s="2" t="s">
        <v>446</v>
      </c>
      <c r="P110" s="2" t="s">
        <v>702</v>
      </c>
      <c r="Q110" s="2">
        <f>MATCH($O110,Phobida_MenuCate!$C$4:$C$31,0)</f>
        <v>16</v>
      </c>
      <c r="R110" s="2">
        <f>MATCH($P110,Phobida_MenuItem!$C$4:$C$111,0)</f>
        <v>107</v>
      </c>
    </row>
    <row r="111" spans="1:18">
      <c r="A111" s="3"/>
      <c r="B111" s="2">
        <v>108</v>
      </c>
      <c r="C111" s="2"/>
      <c r="D111" s="2"/>
      <c r="E111" s="2"/>
      <c r="F111" s="2"/>
      <c r="G111" s="2"/>
      <c r="H111" s="2"/>
      <c r="I111" s="2"/>
      <c r="J111" s="2"/>
      <c r="K111" s="2"/>
      <c r="L111" s="2"/>
      <c r="M111" s="2"/>
    </row>
    <row r="112" spans="1:18">
      <c r="A112" s="3"/>
      <c r="B112" s="2">
        <v>109</v>
      </c>
      <c r="C112" s="2"/>
      <c r="D112" s="2"/>
      <c r="E112" s="2"/>
      <c r="F112" s="2"/>
      <c r="G112" s="2"/>
      <c r="H112" s="2"/>
      <c r="I112" s="2"/>
      <c r="J112" s="2"/>
      <c r="K112" s="2"/>
      <c r="L112" s="2"/>
      <c r="M112" s="2"/>
    </row>
    <row r="113" spans="1:13">
      <c r="A113" s="3"/>
      <c r="B113" s="2">
        <v>110</v>
      </c>
      <c r="C113" s="2"/>
      <c r="D113" s="2"/>
      <c r="E113" s="2"/>
      <c r="F113" s="2"/>
      <c r="G113" s="2"/>
      <c r="H113" s="2"/>
      <c r="I113" s="2"/>
      <c r="J113" s="2"/>
      <c r="K113" s="2"/>
      <c r="L113" s="2"/>
      <c r="M113" s="2"/>
    </row>
    <row r="114" spans="1:13">
      <c r="A114" s="3"/>
      <c r="B114" s="2">
        <v>111</v>
      </c>
      <c r="C114" s="2"/>
      <c r="D114" s="2"/>
      <c r="E114" s="2"/>
      <c r="F114" s="2"/>
      <c r="G114" s="2"/>
      <c r="H114" s="2"/>
      <c r="I114" s="2"/>
      <c r="J114" s="2"/>
      <c r="K114" s="2"/>
      <c r="L114" s="2"/>
      <c r="M114" s="2"/>
    </row>
    <row r="115" spans="1:13">
      <c r="A115" s="3"/>
      <c r="B115" s="2">
        <v>112</v>
      </c>
      <c r="C115" s="2"/>
      <c r="D115" s="2"/>
      <c r="E115" s="2"/>
      <c r="F115" s="2"/>
      <c r="G115" s="2"/>
      <c r="H115" s="2"/>
      <c r="I115" s="2"/>
      <c r="J115" s="2"/>
      <c r="K115" s="2"/>
      <c r="L115" s="2"/>
      <c r="M115" s="2"/>
    </row>
    <row r="116" spans="1:13">
      <c r="A116" s="3"/>
      <c r="B116" s="2">
        <v>113</v>
      </c>
      <c r="C116" s="2"/>
      <c r="D116" s="2"/>
      <c r="E116" s="2"/>
      <c r="F116" s="2"/>
      <c r="G116" s="2"/>
      <c r="H116" s="2"/>
      <c r="I116" s="2"/>
      <c r="J116" s="2"/>
      <c r="K116" s="2"/>
      <c r="L116" s="2"/>
      <c r="M116" s="2"/>
    </row>
    <row r="117" spans="1:13">
      <c r="A117" s="3"/>
      <c r="B117" s="2">
        <v>114</v>
      </c>
      <c r="C117" s="2"/>
      <c r="D117" s="2"/>
      <c r="E117" s="2"/>
      <c r="F117" s="2"/>
      <c r="G117" s="2"/>
      <c r="H117" s="2"/>
      <c r="I117" s="2"/>
      <c r="J117" s="2"/>
      <c r="K117" s="2"/>
      <c r="L117" s="2"/>
      <c r="M117" s="2"/>
    </row>
    <row r="118" spans="1:13">
      <c r="A118" s="3"/>
      <c r="B118" s="2">
        <v>115</v>
      </c>
      <c r="C118" s="2"/>
      <c r="D118" s="2"/>
      <c r="E118" s="2"/>
      <c r="F118" s="2"/>
      <c r="G118" s="2"/>
      <c r="H118" s="2"/>
      <c r="I118" s="2"/>
      <c r="J118" s="2"/>
      <c r="K118" s="2"/>
      <c r="L118" s="2"/>
      <c r="M118" s="2"/>
    </row>
    <row r="119" spans="1:13">
      <c r="A119" s="3"/>
      <c r="B119" s="2">
        <v>116</v>
      </c>
      <c r="C119" s="2"/>
      <c r="D119" s="2"/>
      <c r="E119" s="2"/>
      <c r="F119" s="2"/>
      <c r="G119" s="2"/>
      <c r="H119" s="2"/>
      <c r="I119" s="2"/>
      <c r="J119" s="2"/>
      <c r="K119" s="2"/>
      <c r="L119" s="2"/>
      <c r="M119" s="2"/>
    </row>
    <row r="120" spans="1:13">
      <c r="A120" s="3"/>
      <c r="B120" s="2">
        <v>117</v>
      </c>
      <c r="C120" s="2"/>
      <c r="D120" s="2"/>
      <c r="E120" s="2"/>
      <c r="F120" s="2"/>
      <c r="G120" s="2"/>
      <c r="H120" s="2"/>
      <c r="I120" s="2"/>
      <c r="J120" s="2"/>
      <c r="K120" s="2"/>
      <c r="L120" s="2"/>
      <c r="M120" s="2"/>
    </row>
    <row r="121" spans="1:13">
      <c r="A121" s="3"/>
      <c r="B121" s="2">
        <v>118</v>
      </c>
      <c r="C121" s="2"/>
      <c r="D121" s="2"/>
      <c r="E121" s="2"/>
      <c r="F121" s="2"/>
      <c r="G121" s="2"/>
      <c r="H121" s="2"/>
      <c r="I121" s="2"/>
      <c r="J121" s="2"/>
      <c r="K121" s="2"/>
      <c r="L121" s="2"/>
      <c r="M121" s="2"/>
    </row>
    <row r="122" spans="1:13">
      <c r="A122" s="3"/>
      <c r="B122" s="2">
        <v>119</v>
      </c>
      <c r="C122" s="2"/>
      <c r="D122" s="2"/>
      <c r="E122" s="2"/>
      <c r="F122" s="2"/>
      <c r="G122" s="2"/>
      <c r="H122" s="2"/>
      <c r="I122" s="2"/>
      <c r="J122" s="2"/>
      <c r="K122" s="2"/>
      <c r="L122" s="2"/>
      <c r="M122" s="2"/>
    </row>
    <row r="123" spans="1:13">
      <c r="A123" s="3"/>
      <c r="B123" s="2">
        <v>120</v>
      </c>
      <c r="C123" s="2"/>
      <c r="D123" s="2"/>
      <c r="E123" s="2"/>
      <c r="F123" s="2"/>
      <c r="G123" s="2"/>
      <c r="H123" s="2"/>
      <c r="I123" s="2"/>
      <c r="J123" s="2"/>
      <c r="K123" s="2"/>
      <c r="L123" s="2"/>
      <c r="M123" s="2"/>
    </row>
  </sheetData>
  <mergeCells count="3">
    <mergeCell ref="B1:C1"/>
    <mergeCell ref="O3:P3"/>
    <mergeCell ref="Q3:R3"/>
  </mergeCells>
  <conditionalFormatting sqref="B4:M123">
    <cfRule type="expression" dxfId="20" priority="1">
      <formula>AND(B$3&lt;&gt;"-",LEN(B4)&gt;B$3)</formula>
    </cfRule>
    <cfRule type="expression" dxfId="19" priority="2">
      <formula>ISERROR(B$2)</formula>
    </cfRule>
    <cfRule type="expression" dxfId="18" priority="3">
      <formula>AND(B$3&lt;&gt;"-",LEN(B4)&gt;B$3)</formula>
    </cfRule>
    <cfRule type="expression" dxfId="17" priority="4">
      <formula>ISERROR(B$2)</formula>
    </cfRule>
  </conditionalFormatting>
  <dataValidations count="2">
    <dataValidation type="list" errorStyle="information" allowBlank="1" showInputMessage="1" showErrorMessage="1" error="Please select a valid category" sqref="O4:O110">
      <formula1>List_Cate</formula1>
    </dataValidation>
    <dataValidation type="list" errorStyle="information" allowBlank="1" showInputMessage="1" showErrorMessage="1" error="Please choose a valid item" sqref="P4:P110">
      <formula1>List_Item</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euil15">
    <tabColor rgb="FF00B050"/>
  </sheetPr>
  <dimension ref="A1:M123"/>
  <sheetViews>
    <sheetView zoomScale="85" zoomScaleNormal="85" workbookViewId="0">
      <pane ySplit="3" topLeftCell="A4" activePane="bottomLeft" state="frozen"/>
      <selection activeCell="G20" sqref="G20"/>
      <selection pane="bottomLeft" activeCell="F11" sqref="F11"/>
    </sheetView>
  </sheetViews>
  <sheetFormatPr baseColWidth="10" defaultRowHeight="15"/>
  <cols>
    <col min="2" max="11" width="14.7109375" customWidth="1"/>
  </cols>
  <sheetData>
    <row r="1" spans="1:13" ht="15.75" thickBot="1">
      <c r="A1" s="1" t="s">
        <v>7</v>
      </c>
      <c r="B1" s="29" t="s">
        <v>288</v>
      </c>
      <c r="C1" s="30"/>
      <c r="D1" s="12"/>
      <c r="E1" s="13"/>
      <c r="F1" s="13"/>
      <c r="G1" s="13"/>
      <c r="H1" s="13"/>
      <c r="I1" s="13"/>
      <c r="J1" s="13"/>
      <c r="K1" s="13"/>
      <c r="L1" s="13"/>
      <c r="M1" s="14"/>
    </row>
    <row r="2" spans="1:13" s="6" customFormat="1" ht="24.75" customHeight="1">
      <c r="A2" s="4" t="s">
        <v>5</v>
      </c>
      <c r="B2" s="5" t="str">
        <f t="array" ref="B2:M2">VLOOKUP($B$1&amp;(COLUMN()-1),SQL_Definition[],4,FALSE)</f>
        <v>ID_Photo</v>
      </c>
      <c r="C2" s="5" t="str">
        <v>Txt_FileName</v>
      </c>
      <c r="D2" s="11" t="str">
        <v>Txt_PhotoName</v>
      </c>
      <c r="E2" s="11" t="str">
        <v>Int_Photo%Order</v>
      </c>
      <c r="F2" s="11" t="str">
        <v>Txt_Desc%Fr</v>
      </c>
      <c r="G2" s="11" t="str">
        <v>Txt_Desc%En</v>
      </c>
      <c r="H2" s="11" t="str">
        <v>Txt_Desc%Tw</v>
      </c>
      <c r="I2" s="11" t="str">
        <v>Txt_Desc%Vn</v>
      </c>
      <c r="J2" s="11" t="e">
        <v>#N/A</v>
      </c>
      <c r="K2" s="5" t="e">
        <v>#N/A</v>
      </c>
      <c r="L2" s="5" t="e">
        <v>#N/A</v>
      </c>
      <c r="M2" s="5" t="e">
        <v>#N/A</v>
      </c>
    </row>
    <row r="3" spans="1:13" s="6" customFormat="1">
      <c r="A3" s="4" t="s">
        <v>9</v>
      </c>
      <c r="B3" s="5">
        <f t="array" ref="B3:M3">VLOOKUP($B$1&amp;(COLUMN()-1),SQL_Definition[],6,FALSE)</f>
        <v>4</v>
      </c>
      <c r="C3" s="5">
        <v>20</v>
      </c>
      <c r="D3" s="5">
        <v>40</v>
      </c>
      <c r="E3" s="5">
        <v>4</v>
      </c>
      <c r="F3" s="5">
        <v>150</v>
      </c>
      <c r="G3" s="5">
        <v>150</v>
      </c>
      <c r="H3" s="5">
        <v>150</v>
      </c>
      <c r="I3" s="5">
        <v>150</v>
      </c>
      <c r="J3" s="5" t="e">
        <v>#N/A</v>
      </c>
      <c r="K3" s="5" t="e">
        <v>#N/A</v>
      </c>
      <c r="L3" s="5" t="e">
        <v>#N/A</v>
      </c>
      <c r="M3" s="5" t="e">
        <v>#N/A</v>
      </c>
    </row>
    <row r="4" spans="1:13">
      <c r="A4" s="3"/>
      <c r="B4" s="2">
        <v>1</v>
      </c>
      <c r="C4" s="2" t="s">
        <v>335</v>
      </c>
      <c r="D4" s="2" t="s">
        <v>336</v>
      </c>
      <c r="E4" s="2">
        <v>1</v>
      </c>
      <c r="F4" s="2" t="s">
        <v>337</v>
      </c>
      <c r="G4" s="2" t="s">
        <v>338</v>
      </c>
      <c r="H4" s="2"/>
      <c r="I4" s="2"/>
      <c r="J4" s="2"/>
      <c r="K4" s="2"/>
      <c r="L4" s="2"/>
      <c r="M4" s="2"/>
    </row>
    <row r="5" spans="1:13">
      <c r="A5" s="3"/>
      <c r="B5" s="2">
        <v>2</v>
      </c>
      <c r="C5" s="2" t="s">
        <v>339</v>
      </c>
      <c r="D5" s="2" t="s">
        <v>340</v>
      </c>
      <c r="E5" s="2">
        <v>2</v>
      </c>
      <c r="F5" s="2" t="s">
        <v>341</v>
      </c>
      <c r="G5" s="2" t="s">
        <v>342</v>
      </c>
      <c r="H5" s="2"/>
      <c r="I5" s="2"/>
      <c r="J5" s="2"/>
      <c r="K5" s="2"/>
      <c r="L5" s="2"/>
      <c r="M5" s="2"/>
    </row>
    <row r="6" spans="1:13">
      <c r="A6" s="3"/>
      <c r="B6" s="2">
        <v>3</v>
      </c>
      <c r="C6" s="2" t="s">
        <v>343</v>
      </c>
      <c r="D6" s="2" t="s">
        <v>344</v>
      </c>
      <c r="E6" s="2">
        <v>3</v>
      </c>
      <c r="F6" s="2" t="s">
        <v>345</v>
      </c>
      <c r="G6" s="2" t="s">
        <v>346</v>
      </c>
      <c r="H6" s="2"/>
      <c r="I6" s="2"/>
      <c r="J6" s="2"/>
      <c r="K6" s="2"/>
      <c r="L6" s="2"/>
      <c r="M6" s="2"/>
    </row>
    <row r="7" spans="1:13">
      <c r="A7" s="3"/>
      <c r="B7" s="2">
        <v>4</v>
      </c>
      <c r="C7" s="2" t="s">
        <v>347</v>
      </c>
      <c r="D7" s="2" t="s">
        <v>348</v>
      </c>
      <c r="E7" s="2">
        <v>4</v>
      </c>
      <c r="F7" s="2" t="s">
        <v>349</v>
      </c>
      <c r="G7" s="2" t="s">
        <v>350</v>
      </c>
      <c r="H7" s="2"/>
      <c r="I7" s="2"/>
      <c r="J7" s="2"/>
      <c r="K7" s="2"/>
      <c r="L7" s="2"/>
      <c r="M7" s="2"/>
    </row>
    <row r="8" spans="1:13">
      <c r="A8" s="3"/>
      <c r="B8" s="2">
        <v>5</v>
      </c>
      <c r="C8" s="2" t="s">
        <v>351</v>
      </c>
      <c r="D8" s="2" t="s">
        <v>352</v>
      </c>
      <c r="E8" s="2">
        <v>5</v>
      </c>
      <c r="F8" s="2" t="s">
        <v>353</v>
      </c>
      <c r="G8" s="2" t="s">
        <v>354</v>
      </c>
      <c r="H8" s="2"/>
      <c r="I8" s="2"/>
      <c r="J8" s="2"/>
      <c r="K8" s="2"/>
      <c r="L8" s="2"/>
      <c r="M8" s="2"/>
    </row>
    <row r="9" spans="1:13">
      <c r="A9" s="3"/>
      <c r="B9" s="2">
        <v>6</v>
      </c>
      <c r="C9" s="2" t="s">
        <v>355</v>
      </c>
      <c r="D9" s="2" t="s">
        <v>356</v>
      </c>
      <c r="E9" s="2">
        <v>6</v>
      </c>
      <c r="F9" s="2" t="s">
        <v>357</v>
      </c>
      <c r="G9" s="2" t="s">
        <v>358</v>
      </c>
      <c r="H9" s="2"/>
      <c r="I9" s="2"/>
      <c r="J9" s="2"/>
      <c r="K9" s="2"/>
      <c r="L9" s="2"/>
      <c r="M9" s="2"/>
    </row>
    <row r="10" spans="1:13">
      <c r="A10" s="3"/>
      <c r="B10" s="2">
        <v>7</v>
      </c>
      <c r="C10" s="2" t="s">
        <v>359</v>
      </c>
      <c r="D10" s="2" t="s">
        <v>360</v>
      </c>
      <c r="E10" s="2">
        <v>7</v>
      </c>
      <c r="F10" s="2" t="s">
        <v>361</v>
      </c>
      <c r="G10" s="2" t="s">
        <v>362</v>
      </c>
      <c r="H10" s="2"/>
      <c r="I10" s="2"/>
      <c r="J10" s="2"/>
      <c r="K10" s="2"/>
      <c r="L10" s="2"/>
      <c r="M10" s="2"/>
    </row>
    <row r="11" spans="1:13">
      <c r="A11" s="3"/>
      <c r="B11" s="2">
        <v>8</v>
      </c>
      <c r="C11" s="2" t="s">
        <v>363</v>
      </c>
      <c r="D11" s="2" t="s">
        <v>360</v>
      </c>
      <c r="E11" s="2">
        <v>8</v>
      </c>
      <c r="F11" s="2" t="s">
        <v>364</v>
      </c>
      <c r="G11" s="2" t="s">
        <v>365</v>
      </c>
      <c r="H11" s="2"/>
      <c r="I11" s="2"/>
      <c r="J11" s="2"/>
      <c r="K11" s="2"/>
      <c r="L11" s="2"/>
      <c r="M11" s="2"/>
    </row>
    <row r="12" spans="1:13">
      <c r="A12" s="3"/>
      <c r="B12" s="2">
        <v>9</v>
      </c>
      <c r="C12" s="2" t="s">
        <v>366</v>
      </c>
      <c r="D12" s="2" t="s">
        <v>360</v>
      </c>
      <c r="E12" s="2">
        <v>9</v>
      </c>
      <c r="F12" s="2" t="s">
        <v>367</v>
      </c>
      <c r="G12" s="2" t="s">
        <v>368</v>
      </c>
      <c r="H12" s="2"/>
      <c r="I12" s="2"/>
      <c r="J12" s="2"/>
      <c r="K12" s="2"/>
      <c r="L12" s="2"/>
      <c r="M12" s="2"/>
    </row>
    <row r="13" spans="1:13">
      <c r="A13" s="3"/>
      <c r="B13" s="2">
        <v>10</v>
      </c>
      <c r="C13" s="2" t="s">
        <v>369</v>
      </c>
      <c r="D13" s="2" t="s">
        <v>360</v>
      </c>
      <c r="E13" s="2">
        <v>10</v>
      </c>
      <c r="F13" s="2" t="s">
        <v>370</v>
      </c>
      <c r="G13" s="2" t="s">
        <v>371</v>
      </c>
      <c r="H13" s="2"/>
      <c r="I13" s="2"/>
      <c r="J13" s="2"/>
      <c r="K13" s="2"/>
      <c r="L13" s="2"/>
      <c r="M13" s="2"/>
    </row>
    <row r="14" spans="1:13">
      <c r="A14" s="3"/>
      <c r="B14" s="2">
        <v>11</v>
      </c>
      <c r="C14" s="2" t="s">
        <v>372</v>
      </c>
      <c r="D14" s="2" t="s">
        <v>360</v>
      </c>
      <c r="E14" s="2">
        <v>11</v>
      </c>
      <c r="F14" s="2" t="s">
        <v>373</v>
      </c>
      <c r="G14" s="2" t="s">
        <v>374</v>
      </c>
      <c r="H14" s="2"/>
      <c r="I14" s="2"/>
      <c r="J14" s="2"/>
      <c r="K14" s="2"/>
      <c r="L14" s="2"/>
      <c r="M14" s="2"/>
    </row>
    <row r="15" spans="1:13">
      <c r="A15" s="3"/>
      <c r="B15" s="2">
        <v>12</v>
      </c>
      <c r="C15" s="2" t="s">
        <v>375</v>
      </c>
      <c r="D15" s="2" t="s">
        <v>360</v>
      </c>
      <c r="E15" s="2">
        <v>12</v>
      </c>
      <c r="F15" s="2" t="s">
        <v>376</v>
      </c>
      <c r="G15" s="2" t="s">
        <v>377</v>
      </c>
      <c r="H15" s="2"/>
      <c r="I15" s="2"/>
      <c r="J15" s="2"/>
      <c r="K15" s="2"/>
      <c r="L15" s="2"/>
      <c r="M15" s="2"/>
    </row>
    <row r="16" spans="1:13">
      <c r="A16" s="3"/>
      <c r="B16" s="2">
        <v>13</v>
      </c>
      <c r="C16" s="2" t="s">
        <v>378</v>
      </c>
      <c r="D16" s="2" t="s">
        <v>360</v>
      </c>
      <c r="E16" s="2">
        <v>13</v>
      </c>
      <c r="F16" s="2" t="s">
        <v>379</v>
      </c>
      <c r="G16" s="2" t="s">
        <v>380</v>
      </c>
      <c r="H16" s="2"/>
      <c r="I16" s="2"/>
      <c r="J16" s="2"/>
      <c r="K16" s="2"/>
      <c r="L16" s="2"/>
      <c r="M16" s="2"/>
    </row>
    <row r="17" spans="1:13">
      <c r="A17" s="3"/>
      <c r="B17" s="2">
        <v>14</v>
      </c>
      <c r="C17" s="2" t="s">
        <v>381</v>
      </c>
      <c r="D17" s="2" t="s">
        <v>360</v>
      </c>
      <c r="E17" s="2">
        <v>14</v>
      </c>
      <c r="F17" s="2" t="s">
        <v>382</v>
      </c>
      <c r="G17" s="2" t="s">
        <v>383</v>
      </c>
      <c r="H17" s="2"/>
      <c r="I17" s="2"/>
      <c r="J17" s="2"/>
      <c r="K17" s="2"/>
      <c r="L17" s="2"/>
      <c r="M17" s="2"/>
    </row>
    <row r="18" spans="1:13">
      <c r="A18" s="3"/>
      <c r="B18" s="2">
        <v>15</v>
      </c>
      <c r="C18" s="2" t="s">
        <v>384</v>
      </c>
      <c r="D18" s="2" t="s">
        <v>360</v>
      </c>
      <c r="E18" s="2">
        <v>15</v>
      </c>
      <c r="F18" s="2" t="s">
        <v>385</v>
      </c>
      <c r="G18" s="2" t="s">
        <v>386</v>
      </c>
      <c r="H18" s="2"/>
      <c r="I18" s="2"/>
      <c r="J18" s="2"/>
      <c r="K18" s="2"/>
      <c r="L18" s="2"/>
      <c r="M18" s="2"/>
    </row>
    <row r="19" spans="1:13">
      <c r="A19" s="3"/>
      <c r="B19" s="2">
        <v>16</v>
      </c>
      <c r="C19" s="2" t="s">
        <v>387</v>
      </c>
      <c r="D19" s="2" t="s">
        <v>360</v>
      </c>
      <c r="E19" s="2">
        <v>16</v>
      </c>
      <c r="F19" s="2" t="s">
        <v>388</v>
      </c>
      <c r="G19" s="2" t="s">
        <v>389</v>
      </c>
      <c r="H19" s="2"/>
      <c r="I19" s="2"/>
      <c r="J19" s="2"/>
      <c r="K19" s="2"/>
      <c r="L19" s="2"/>
      <c r="M19" s="2"/>
    </row>
    <row r="20" spans="1:13">
      <c r="A20" s="3"/>
      <c r="B20" s="2">
        <v>17</v>
      </c>
      <c r="C20" s="2" t="s">
        <v>390</v>
      </c>
      <c r="D20" s="2" t="s">
        <v>360</v>
      </c>
      <c r="E20" s="2">
        <v>17</v>
      </c>
      <c r="F20" s="2" t="s">
        <v>391</v>
      </c>
      <c r="G20" s="2" t="s">
        <v>392</v>
      </c>
      <c r="H20" s="2"/>
      <c r="I20" s="2"/>
      <c r="J20" s="2"/>
      <c r="K20" s="2"/>
      <c r="L20" s="2"/>
      <c r="M20" s="2"/>
    </row>
    <row r="21" spans="1:13">
      <c r="A21" s="3"/>
      <c r="B21" s="2">
        <v>18</v>
      </c>
      <c r="C21" s="2" t="s">
        <v>393</v>
      </c>
      <c r="D21" s="2" t="s">
        <v>394</v>
      </c>
      <c r="E21" s="2">
        <v>18</v>
      </c>
      <c r="F21" s="2" t="s">
        <v>395</v>
      </c>
      <c r="G21" s="2" t="s">
        <v>396</v>
      </c>
      <c r="H21" s="2"/>
      <c r="I21" s="2"/>
      <c r="J21" s="2"/>
      <c r="K21" s="2"/>
      <c r="L21" s="2"/>
      <c r="M21" s="2"/>
    </row>
    <row r="22" spans="1:13">
      <c r="A22" s="3"/>
      <c r="B22" s="2">
        <v>19</v>
      </c>
      <c r="C22" s="2" t="s">
        <v>397</v>
      </c>
      <c r="D22" s="2" t="s">
        <v>398</v>
      </c>
      <c r="E22" s="2">
        <v>19</v>
      </c>
      <c r="F22" s="2" t="s">
        <v>399</v>
      </c>
      <c r="G22" s="2" t="s">
        <v>400</v>
      </c>
      <c r="H22" s="2"/>
      <c r="I22" s="2"/>
      <c r="J22" s="2"/>
      <c r="K22" s="2"/>
      <c r="L22" s="2"/>
      <c r="M22" s="2"/>
    </row>
    <row r="23" spans="1:13">
      <c r="A23" s="3"/>
      <c r="B23" s="2">
        <v>20</v>
      </c>
      <c r="C23" s="2"/>
      <c r="D23" s="2"/>
      <c r="E23" s="2"/>
      <c r="F23" s="2"/>
      <c r="G23" s="2"/>
      <c r="H23" s="2"/>
      <c r="I23" s="2"/>
      <c r="J23" s="2"/>
      <c r="K23" s="2"/>
      <c r="L23" s="2"/>
      <c r="M23" s="2"/>
    </row>
    <row r="24" spans="1:13">
      <c r="A24" s="3"/>
      <c r="B24" s="2">
        <v>21</v>
      </c>
      <c r="C24" s="2"/>
      <c r="D24" s="2"/>
      <c r="E24" s="2"/>
      <c r="F24" s="2"/>
      <c r="G24" s="2"/>
      <c r="H24" s="2"/>
      <c r="I24" s="2"/>
      <c r="J24" s="2"/>
      <c r="K24" s="2"/>
      <c r="L24" s="2"/>
      <c r="M24" s="2"/>
    </row>
    <row r="25" spans="1:13">
      <c r="A25" s="3"/>
      <c r="B25" s="2">
        <v>22</v>
      </c>
      <c r="C25" s="2"/>
      <c r="D25" s="2"/>
      <c r="E25" s="2"/>
      <c r="F25" s="2"/>
      <c r="G25" s="2"/>
      <c r="H25" s="2"/>
      <c r="I25" s="2"/>
      <c r="J25" s="2"/>
      <c r="K25" s="2"/>
      <c r="L25" s="2"/>
      <c r="M25" s="2"/>
    </row>
    <row r="26" spans="1:13">
      <c r="A26" s="3"/>
      <c r="B26" s="2">
        <v>23</v>
      </c>
      <c r="C26" s="2"/>
      <c r="D26" s="2"/>
      <c r="E26" s="2"/>
      <c r="F26" s="2"/>
      <c r="G26" s="2"/>
      <c r="H26" s="2"/>
      <c r="I26" s="2"/>
      <c r="J26" s="2"/>
      <c r="K26" s="2"/>
      <c r="L26" s="2"/>
      <c r="M26" s="2"/>
    </row>
    <row r="27" spans="1:13">
      <c r="A27" s="3"/>
      <c r="B27" s="2">
        <v>24</v>
      </c>
      <c r="C27" s="2"/>
      <c r="D27" s="2"/>
      <c r="E27" s="2"/>
      <c r="F27" s="2"/>
      <c r="G27" s="2"/>
      <c r="H27" s="2"/>
      <c r="I27" s="2"/>
      <c r="J27" s="2"/>
      <c r="K27" s="2"/>
      <c r="L27" s="2"/>
      <c r="M27" s="2"/>
    </row>
    <row r="28" spans="1:13">
      <c r="A28" s="3"/>
      <c r="B28" s="2">
        <v>25</v>
      </c>
      <c r="C28" s="2"/>
      <c r="D28" s="2"/>
      <c r="E28" s="2"/>
      <c r="F28" s="2"/>
      <c r="G28" s="2"/>
      <c r="H28" s="2"/>
      <c r="I28" s="2"/>
      <c r="J28" s="2"/>
      <c r="K28" s="2"/>
      <c r="L28" s="2"/>
      <c r="M28" s="2"/>
    </row>
    <row r="29" spans="1:13">
      <c r="A29" s="3"/>
      <c r="B29" s="2">
        <v>26</v>
      </c>
      <c r="C29" s="2"/>
      <c r="D29" s="2"/>
      <c r="E29" s="2"/>
      <c r="F29" s="2"/>
      <c r="G29" s="2"/>
      <c r="H29" s="2"/>
      <c r="I29" s="2"/>
      <c r="J29" s="2"/>
      <c r="K29" s="2"/>
      <c r="L29" s="2"/>
      <c r="M29" s="2"/>
    </row>
    <row r="30" spans="1:13">
      <c r="A30" s="3"/>
      <c r="B30" s="2">
        <v>27</v>
      </c>
      <c r="C30" s="2"/>
      <c r="D30" s="2"/>
      <c r="E30" s="2"/>
      <c r="F30" s="2"/>
      <c r="G30" s="2"/>
      <c r="H30" s="2"/>
      <c r="I30" s="2"/>
      <c r="J30" s="2"/>
      <c r="K30" s="2"/>
      <c r="L30" s="2"/>
      <c r="M30" s="2"/>
    </row>
    <row r="31" spans="1:13">
      <c r="A31" s="3"/>
      <c r="B31" s="2">
        <v>28</v>
      </c>
      <c r="C31" s="2"/>
      <c r="D31" s="2"/>
      <c r="E31" s="2"/>
      <c r="F31" s="2"/>
      <c r="G31" s="2"/>
      <c r="H31" s="2"/>
      <c r="I31" s="2"/>
      <c r="J31" s="2"/>
      <c r="K31" s="2"/>
      <c r="L31" s="2"/>
      <c r="M31" s="2"/>
    </row>
    <row r="32" spans="1:13">
      <c r="A32" s="3"/>
      <c r="B32" s="2">
        <v>29</v>
      </c>
      <c r="C32" s="2"/>
      <c r="D32" s="2"/>
      <c r="E32" s="2"/>
      <c r="F32" s="2"/>
      <c r="G32" s="2"/>
      <c r="H32" s="2"/>
      <c r="I32" s="2"/>
      <c r="J32" s="2"/>
      <c r="K32" s="2"/>
      <c r="L32" s="2"/>
      <c r="M32" s="2"/>
    </row>
    <row r="33" spans="1:13">
      <c r="A33" s="3"/>
      <c r="B33" s="2">
        <v>30</v>
      </c>
      <c r="C33" s="2"/>
      <c r="D33" s="2"/>
      <c r="E33" s="2"/>
      <c r="F33" s="2"/>
      <c r="G33" s="2"/>
      <c r="H33" s="2"/>
      <c r="I33" s="2"/>
      <c r="J33" s="2"/>
      <c r="K33" s="2"/>
      <c r="L33" s="2"/>
      <c r="M33" s="2"/>
    </row>
    <row r="34" spans="1:13">
      <c r="A34" s="3"/>
      <c r="B34" s="2">
        <v>31</v>
      </c>
      <c r="C34" s="2"/>
      <c r="D34" s="2"/>
      <c r="E34" s="2"/>
      <c r="F34" s="2"/>
      <c r="G34" s="2"/>
      <c r="H34" s="2"/>
      <c r="I34" s="2"/>
      <c r="J34" s="2"/>
      <c r="K34" s="2"/>
      <c r="L34" s="2"/>
      <c r="M34" s="2"/>
    </row>
    <row r="35" spans="1:13">
      <c r="A35" s="3"/>
      <c r="B35" s="2">
        <v>32</v>
      </c>
      <c r="C35" s="2"/>
      <c r="D35" s="2"/>
      <c r="E35" s="2"/>
      <c r="F35" s="2"/>
      <c r="G35" s="2"/>
      <c r="H35" s="2"/>
      <c r="I35" s="2"/>
      <c r="J35" s="2"/>
      <c r="K35" s="2"/>
      <c r="L35" s="2"/>
      <c r="M35" s="2"/>
    </row>
    <row r="36" spans="1:13">
      <c r="A36" s="3"/>
      <c r="B36" s="2">
        <v>33</v>
      </c>
      <c r="C36" s="2"/>
      <c r="D36" s="2"/>
      <c r="E36" s="2"/>
      <c r="F36" s="2"/>
      <c r="G36" s="2"/>
      <c r="H36" s="2"/>
      <c r="I36" s="2"/>
      <c r="J36" s="2"/>
      <c r="K36" s="2"/>
      <c r="L36" s="2"/>
      <c r="M36" s="2"/>
    </row>
    <row r="37" spans="1:13">
      <c r="A37" s="3"/>
      <c r="B37" s="2">
        <v>34</v>
      </c>
      <c r="C37" s="2"/>
      <c r="D37" s="2"/>
      <c r="E37" s="2"/>
      <c r="F37" s="2"/>
      <c r="G37" s="2"/>
      <c r="H37" s="2"/>
      <c r="I37" s="2"/>
      <c r="J37" s="2"/>
      <c r="K37" s="2"/>
      <c r="L37" s="2"/>
      <c r="M37" s="2"/>
    </row>
    <row r="38" spans="1:13">
      <c r="A38" s="3"/>
      <c r="B38" s="2">
        <v>35</v>
      </c>
      <c r="C38" s="2"/>
      <c r="D38" s="2"/>
      <c r="E38" s="2"/>
      <c r="F38" s="2"/>
      <c r="G38" s="2"/>
      <c r="H38" s="2"/>
      <c r="I38" s="2"/>
      <c r="J38" s="2"/>
      <c r="K38" s="2"/>
      <c r="L38" s="2"/>
      <c r="M38" s="2"/>
    </row>
    <row r="39" spans="1:13">
      <c r="A39" s="3"/>
      <c r="B39" s="2">
        <v>36</v>
      </c>
      <c r="C39" s="2"/>
      <c r="D39" s="2"/>
      <c r="E39" s="2"/>
      <c r="F39" s="2"/>
      <c r="G39" s="2"/>
      <c r="H39" s="2"/>
      <c r="I39" s="2"/>
      <c r="J39" s="2"/>
      <c r="K39" s="2"/>
      <c r="L39" s="2"/>
      <c r="M39" s="2"/>
    </row>
    <row r="40" spans="1:13">
      <c r="A40" s="3"/>
      <c r="B40" s="2">
        <v>37</v>
      </c>
      <c r="C40" s="2"/>
      <c r="D40" s="2"/>
      <c r="E40" s="2"/>
      <c r="F40" s="2"/>
      <c r="G40" s="2"/>
      <c r="H40" s="2"/>
      <c r="I40" s="2"/>
      <c r="J40" s="2"/>
      <c r="K40" s="2"/>
      <c r="L40" s="2"/>
      <c r="M40" s="2"/>
    </row>
    <row r="41" spans="1:13">
      <c r="A41" s="3"/>
      <c r="B41" s="2">
        <v>38</v>
      </c>
      <c r="C41" s="2"/>
      <c r="D41" s="2"/>
      <c r="E41" s="2"/>
      <c r="F41" s="2"/>
      <c r="G41" s="2"/>
      <c r="H41" s="2"/>
      <c r="I41" s="2"/>
      <c r="J41" s="2"/>
      <c r="K41" s="2"/>
      <c r="L41" s="2"/>
      <c r="M41" s="2"/>
    </row>
    <row r="42" spans="1:13">
      <c r="A42" s="3"/>
      <c r="B42" s="2">
        <v>39</v>
      </c>
      <c r="C42" s="2"/>
      <c r="D42" s="2"/>
      <c r="E42" s="2"/>
      <c r="F42" s="2"/>
      <c r="G42" s="2"/>
      <c r="H42" s="2"/>
      <c r="I42" s="2"/>
      <c r="J42" s="2"/>
      <c r="K42" s="2"/>
      <c r="L42" s="2"/>
      <c r="M42" s="2"/>
    </row>
    <row r="43" spans="1:13">
      <c r="A43" s="3"/>
      <c r="B43" s="2">
        <v>40</v>
      </c>
      <c r="C43" s="2"/>
      <c r="D43" s="2"/>
      <c r="E43" s="2"/>
      <c r="F43" s="2"/>
      <c r="G43" s="2"/>
      <c r="H43" s="2"/>
      <c r="I43" s="2"/>
      <c r="J43" s="2"/>
      <c r="K43" s="2"/>
      <c r="L43" s="2"/>
      <c r="M43" s="2"/>
    </row>
    <row r="44" spans="1:13">
      <c r="A44" s="3"/>
      <c r="B44" s="2">
        <v>41</v>
      </c>
      <c r="C44" s="2"/>
      <c r="D44" s="2"/>
      <c r="E44" s="2"/>
      <c r="F44" s="2"/>
      <c r="G44" s="2"/>
      <c r="H44" s="2"/>
      <c r="I44" s="2"/>
      <c r="J44" s="2"/>
      <c r="K44" s="2"/>
      <c r="L44" s="2"/>
      <c r="M44" s="2"/>
    </row>
    <row r="45" spans="1:13">
      <c r="A45" s="3"/>
      <c r="B45" s="2">
        <v>42</v>
      </c>
      <c r="C45" s="2"/>
      <c r="D45" s="2"/>
      <c r="E45" s="2"/>
      <c r="F45" s="2"/>
      <c r="G45" s="2"/>
      <c r="H45" s="2"/>
      <c r="I45" s="2"/>
      <c r="J45" s="2"/>
      <c r="K45" s="2"/>
      <c r="L45" s="2"/>
      <c r="M45" s="2"/>
    </row>
    <row r="46" spans="1:13">
      <c r="A46" s="3"/>
      <c r="B46" s="2">
        <v>43</v>
      </c>
      <c r="C46" s="2"/>
      <c r="D46" s="2"/>
      <c r="E46" s="2"/>
      <c r="F46" s="2"/>
      <c r="G46" s="2"/>
      <c r="H46" s="2"/>
      <c r="I46" s="2"/>
      <c r="J46" s="2"/>
      <c r="K46" s="2"/>
      <c r="L46" s="2"/>
      <c r="M46" s="2"/>
    </row>
    <row r="47" spans="1:13">
      <c r="A47" s="3"/>
      <c r="B47" s="2">
        <v>44</v>
      </c>
      <c r="C47" s="2"/>
      <c r="D47" s="2"/>
      <c r="E47" s="2"/>
      <c r="F47" s="2"/>
      <c r="G47" s="2"/>
      <c r="H47" s="2"/>
      <c r="I47" s="2"/>
      <c r="J47" s="2"/>
      <c r="K47" s="2"/>
      <c r="L47" s="2"/>
      <c r="M47" s="2"/>
    </row>
    <row r="48" spans="1:13">
      <c r="A48" s="3"/>
      <c r="B48" s="2">
        <v>45</v>
      </c>
      <c r="C48" s="2"/>
      <c r="D48" s="2"/>
      <c r="E48" s="2"/>
      <c r="F48" s="2"/>
      <c r="G48" s="2"/>
      <c r="H48" s="2"/>
      <c r="I48" s="2"/>
      <c r="J48" s="2"/>
      <c r="K48" s="2"/>
      <c r="L48" s="2"/>
      <c r="M48" s="2"/>
    </row>
    <row r="49" spans="1:13">
      <c r="A49" s="3"/>
      <c r="B49" s="2">
        <v>46</v>
      </c>
      <c r="C49" s="2"/>
      <c r="D49" s="2"/>
      <c r="E49" s="2"/>
      <c r="F49" s="2"/>
      <c r="G49" s="2"/>
      <c r="H49" s="2"/>
      <c r="I49" s="2"/>
      <c r="J49" s="2"/>
      <c r="K49" s="2"/>
      <c r="L49" s="2"/>
      <c r="M49" s="2"/>
    </row>
    <row r="50" spans="1:13">
      <c r="A50" s="3"/>
      <c r="B50" s="2">
        <v>47</v>
      </c>
      <c r="C50" s="2"/>
      <c r="D50" s="2"/>
      <c r="E50" s="2"/>
      <c r="F50" s="2"/>
      <c r="G50" s="2"/>
      <c r="H50" s="2"/>
      <c r="I50" s="2"/>
      <c r="J50" s="2"/>
      <c r="K50" s="2"/>
      <c r="L50" s="2"/>
      <c r="M50" s="2"/>
    </row>
    <row r="51" spans="1:13">
      <c r="A51" s="3"/>
      <c r="B51" s="2">
        <v>48</v>
      </c>
      <c r="C51" s="2"/>
      <c r="D51" s="2"/>
      <c r="E51" s="2"/>
      <c r="F51" s="2"/>
      <c r="G51" s="2"/>
      <c r="H51" s="2"/>
      <c r="I51" s="2"/>
      <c r="J51" s="2"/>
      <c r="K51" s="2"/>
      <c r="L51" s="2"/>
      <c r="M51" s="2"/>
    </row>
    <row r="52" spans="1:13">
      <c r="A52" s="3"/>
      <c r="B52" s="2">
        <v>49</v>
      </c>
      <c r="C52" s="2"/>
      <c r="D52" s="2"/>
      <c r="E52" s="2"/>
      <c r="F52" s="2"/>
      <c r="G52" s="2"/>
      <c r="H52" s="2"/>
      <c r="I52" s="2"/>
      <c r="J52" s="2"/>
      <c r="K52" s="2"/>
      <c r="L52" s="2"/>
      <c r="M52" s="2"/>
    </row>
    <row r="53" spans="1:13">
      <c r="A53" s="3"/>
      <c r="B53" s="2">
        <v>50</v>
      </c>
      <c r="C53" s="2"/>
      <c r="D53" s="2"/>
      <c r="E53" s="2"/>
      <c r="F53" s="2"/>
      <c r="G53" s="2"/>
      <c r="H53" s="2"/>
      <c r="I53" s="2"/>
      <c r="J53" s="2"/>
      <c r="K53" s="2"/>
      <c r="L53" s="2"/>
      <c r="M53" s="2"/>
    </row>
    <row r="54" spans="1:13">
      <c r="A54" s="3"/>
      <c r="B54" s="2">
        <v>51</v>
      </c>
      <c r="C54" s="2"/>
      <c r="D54" s="2"/>
      <c r="E54" s="2"/>
      <c r="F54" s="2"/>
      <c r="G54" s="2"/>
      <c r="H54" s="2"/>
      <c r="I54" s="2"/>
      <c r="J54" s="2"/>
      <c r="K54" s="2"/>
      <c r="L54" s="2"/>
      <c r="M54" s="2"/>
    </row>
    <row r="55" spans="1:13">
      <c r="A55" s="3"/>
      <c r="B55" s="2">
        <v>52</v>
      </c>
      <c r="C55" s="2"/>
      <c r="D55" s="2"/>
      <c r="E55" s="2"/>
      <c r="F55" s="2"/>
      <c r="G55" s="2"/>
      <c r="H55" s="2"/>
      <c r="I55" s="2"/>
      <c r="J55" s="2"/>
      <c r="K55" s="2"/>
      <c r="L55" s="2"/>
      <c r="M55" s="2"/>
    </row>
    <row r="56" spans="1:13">
      <c r="A56" s="3"/>
      <c r="B56" s="2">
        <v>53</v>
      </c>
      <c r="C56" s="2"/>
      <c r="D56" s="2"/>
      <c r="E56" s="2"/>
      <c r="F56" s="2"/>
      <c r="G56" s="2"/>
      <c r="H56" s="2"/>
      <c r="I56" s="2"/>
      <c r="J56" s="2"/>
      <c r="K56" s="2"/>
      <c r="L56" s="2"/>
      <c r="M56" s="2"/>
    </row>
    <row r="57" spans="1:13">
      <c r="A57" s="3"/>
      <c r="B57" s="2">
        <v>54</v>
      </c>
      <c r="C57" s="2"/>
      <c r="D57" s="2"/>
      <c r="E57" s="2"/>
      <c r="F57" s="2"/>
      <c r="G57" s="2"/>
      <c r="H57" s="2"/>
      <c r="I57" s="2"/>
      <c r="J57" s="2"/>
      <c r="K57" s="2"/>
      <c r="L57" s="2"/>
      <c r="M57" s="2"/>
    </row>
    <row r="58" spans="1:13">
      <c r="A58" s="3"/>
      <c r="B58" s="2">
        <v>55</v>
      </c>
      <c r="C58" s="2"/>
      <c r="D58" s="2"/>
      <c r="E58" s="2"/>
      <c r="F58" s="2"/>
      <c r="G58" s="2"/>
      <c r="H58" s="2"/>
      <c r="I58" s="2"/>
      <c r="J58" s="2"/>
      <c r="K58" s="2"/>
      <c r="L58" s="2"/>
      <c r="M58" s="2"/>
    </row>
    <row r="59" spans="1:13">
      <c r="A59" s="3"/>
      <c r="B59" s="2">
        <v>56</v>
      </c>
      <c r="C59" s="2"/>
      <c r="D59" s="2"/>
      <c r="E59" s="2"/>
      <c r="F59" s="2"/>
      <c r="G59" s="2"/>
      <c r="H59" s="2"/>
      <c r="I59" s="2"/>
      <c r="J59" s="2"/>
      <c r="K59" s="2"/>
      <c r="L59" s="2"/>
      <c r="M59" s="2"/>
    </row>
    <row r="60" spans="1:13">
      <c r="A60" s="3"/>
      <c r="B60" s="2">
        <v>57</v>
      </c>
      <c r="C60" s="2"/>
      <c r="D60" s="2"/>
      <c r="E60" s="2"/>
      <c r="F60" s="2"/>
      <c r="G60" s="2"/>
      <c r="H60" s="2"/>
      <c r="I60" s="2"/>
      <c r="J60" s="2"/>
      <c r="K60" s="2"/>
      <c r="L60" s="2"/>
      <c r="M60" s="2"/>
    </row>
    <row r="61" spans="1:13">
      <c r="A61" s="3"/>
      <c r="B61" s="2">
        <v>58</v>
      </c>
      <c r="C61" s="2"/>
      <c r="D61" s="2"/>
      <c r="E61" s="2"/>
      <c r="F61" s="2"/>
      <c r="G61" s="2"/>
      <c r="H61" s="2"/>
      <c r="I61" s="2"/>
      <c r="J61" s="2"/>
      <c r="K61" s="2"/>
      <c r="L61" s="2"/>
      <c r="M61" s="2"/>
    </row>
    <row r="62" spans="1:13">
      <c r="A62" s="3"/>
      <c r="B62" s="2">
        <v>59</v>
      </c>
      <c r="C62" s="2"/>
      <c r="D62" s="2"/>
      <c r="E62" s="2"/>
      <c r="F62" s="2"/>
      <c r="G62" s="2"/>
      <c r="H62" s="2"/>
      <c r="I62" s="2"/>
      <c r="J62" s="2"/>
      <c r="K62" s="2"/>
      <c r="L62" s="2"/>
      <c r="M62" s="2"/>
    </row>
    <row r="63" spans="1:13">
      <c r="A63" s="3"/>
      <c r="B63" s="2">
        <v>60</v>
      </c>
      <c r="C63" s="2"/>
      <c r="D63" s="2"/>
      <c r="E63" s="2"/>
      <c r="F63" s="2"/>
      <c r="G63" s="2"/>
      <c r="H63" s="2"/>
      <c r="I63" s="2"/>
      <c r="J63" s="2"/>
      <c r="K63" s="2"/>
      <c r="L63" s="2"/>
      <c r="M63" s="2"/>
    </row>
    <row r="64" spans="1:13">
      <c r="A64" s="3"/>
      <c r="B64" s="2">
        <v>61</v>
      </c>
      <c r="C64" s="2"/>
      <c r="D64" s="2"/>
      <c r="E64" s="2"/>
      <c r="F64" s="2"/>
      <c r="G64" s="2"/>
      <c r="H64" s="2"/>
      <c r="I64" s="2"/>
      <c r="J64" s="2"/>
      <c r="K64" s="2"/>
      <c r="L64" s="2"/>
      <c r="M64" s="2"/>
    </row>
    <row r="65" spans="1:13">
      <c r="A65" s="3"/>
      <c r="B65" s="2">
        <v>62</v>
      </c>
      <c r="C65" s="2"/>
      <c r="D65" s="2"/>
      <c r="E65" s="2"/>
      <c r="F65" s="2"/>
      <c r="G65" s="2"/>
      <c r="H65" s="2"/>
      <c r="I65" s="2"/>
      <c r="J65" s="2"/>
      <c r="K65" s="2"/>
      <c r="L65" s="2"/>
      <c r="M65" s="2"/>
    </row>
    <row r="66" spans="1:13">
      <c r="A66" s="3"/>
      <c r="B66" s="2">
        <v>63</v>
      </c>
      <c r="C66" s="2"/>
      <c r="D66" s="2"/>
      <c r="E66" s="2"/>
      <c r="F66" s="2"/>
      <c r="G66" s="2"/>
      <c r="H66" s="2"/>
      <c r="I66" s="2"/>
      <c r="J66" s="2"/>
      <c r="K66" s="2"/>
      <c r="L66" s="2"/>
      <c r="M66" s="2"/>
    </row>
    <row r="67" spans="1:13">
      <c r="A67" s="3"/>
      <c r="B67" s="2">
        <v>64</v>
      </c>
      <c r="C67" s="2"/>
      <c r="D67" s="2"/>
      <c r="E67" s="2"/>
      <c r="F67" s="2"/>
      <c r="G67" s="2"/>
      <c r="H67" s="2"/>
      <c r="I67" s="2"/>
      <c r="J67" s="2"/>
      <c r="K67" s="2"/>
      <c r="L67" s="2"/>
      <c r="M67" s="2"/>
    </row>
    <row r="68" spans="1:13">
      <c r="A68" s="3"/>
      <c r="B68" s="2">
        <v>65</v>
      </c>
      <c r="C68" s="2"/>
      <c r="D68" s="2"/>
      <c r="E68" s="2"/>
      <c r="F68" s="2"/>
      <c r="G68" s="2"/>
      <c r="H68" s="2"/>
      <c r="I68" s="2"/>
      <c r="J68" s="2"/>
      <c r="K68" s="2"/>
      <c r="L68" s="2"/>
      <c r="M68" s="2"/>
    </row>
    <row r="69" spans="1:13">
      <c r="A69" s="3"/>
      <c r="B69" s="2">
        <v>66</v>
      </c>
      <c r="C69" s="2"/>
      <c r="D69" s="2"/>
      <c r="E69" s="2"/>
      <c r="F69" s="2"/>
      <c r="G69" s="2"/>
      <c r="H69" s="2"/>
      <c r="I69" s="2"/>
      <c r="J69" s="2"/>
      <c r="K69" s="2"/>
      <c r="L69" s="2"/>
      <c r="M69" s="2"/>
    </row>
    <row r="70" spans="1:13">
      <c r="A70" s="3"/>
      <c r="B70" s="2">
        <v>67</v>
      </c>
      <c r="C70" s="2"/>
      <c r="D70" s="2"/>
      <c r="E70" s="2"/>
      <c r="F70" s="2"/>
      <c r="G70" s="2"/>
      <c r="H70" s="2"/>
      <c r="I70" s="2"/>
      <c r="J70" s="2"/>
      <c r="K70" s="2"/>
      <c r="L70" s="2"/>
      <c r="M70" s="2"/>
    </row>
    <row r="71" spans="1:13">
      <c r="A71" s="3"/>
      <c r="B71" s="2">
        <v>68</v>
      </c>
      <c r="C71" s="2"/>
      <c r="D71" s="2"/>
      <c r="E71" s="2"/>
      <c r="F71" s="2"/>
      <c r="G71" s="2"/>
      <c r="H71" s="2"/>
      <c r="I71" s="2"/>
      <c r="J71" s="2"/>
      <c r="K71" s="2"/>
      <c r="L71" s="2"/>
      <c r="M71" s="2"/>
    </row>
    <row r="72" spans="1:13">
      <c r="A72" s="3"/>
      <c r="B72" s="2">
        <v>69</v>
      </c>
      <c r="C72" s="2"/>
      <c r="D72" s="2"/>
      <c r="E72" s="2"/>
      <c r="F72" s="2"/>
      <c r="G72" s="2"/>
      <c r="H72" s="2"/>
      <c r="I72" s="2"/>
      <c r="J72" s="2"/>
      <c r="K72" s="2"/>
      <c r="L72" s="2"/>
      <c r="M72" s="2"/>
    </row>
    <row r="73" spans="1:13">
      <c r="A73" s="3"/>
      <c r="B73" s="2">
        <v>70</v>
      </c>
      <c r="C73" s="2"/>
      <c r="D73" s="2"/>
      <c r="E73" s="2"/>
      <c r="F73" s="2"/>
      <c r="G73" s="2"/>
      <c r="H73" s="2"/>
      <c r="I73" s="2"/>
      <c r="J73" s="2"/>
      <c r="K73" s="2"/>
      <c r="L73" s="2"/>
      <c r="M73" s="2"/>
    </row>
    <row r="74" spans="1:13">
      <c r="A74" s="3"/>
      <c r="B74" s="2">
        <v>71</v>
      </c>
      <c r="C74" s="2"/>
      <c r="D74" s="2"/>
      <c r="E74" s="2"/>
      <c r="F74" s="2"/>
      <c r="G74" s="2"/>
      <c r="H74" s="2"/>
      <c r="I74" s="2"/>
      <c r="J74" s="2"/>
      <c r="K74" s="2"/>
      <c r="L74" s="2"/>
      <c r="M74" s="2"/>
    </row>
    <row r="75" spans="1:13">
      <c r="A75" s="3"/>
      <c r="B75" s="2">
        <v>72</v>
      </c>
      <c r="C75" s="2"/>
      <c r="D75" s="2"/>
      <c r="E75" s="2"/>
      <c r="F75" s="2"/>
      <c r="G75" s="2"/>
      <c r="H75" s="2"/>
      <c r="I75" s="2"/>
      <c r="J75" s="2"/>
      <c r="K75" s="2"/>
      <c r="L75" s="2"/>
      <c r="M75" s="2"/>
    </row>
    <row r="76" spans="1:13">
      <c r="A76" s="3"/>
      <c r="B76" s="2">
        <v>73</v>
      </c>
      <c r="C76" s="2"/>
      <c r="D76" s="2"/>
      <c r="E76" s="2"/>
      <c r="F76" s="2"/>
      <c r="G76" s="2"/>
      <c r="H76" s="2"/>
      <c r="I76" s="2"/>
      <c r="J76" s="2"/>
      <c r="K76" s="2"/>
      <c r="L76" s="2"/>
      <c r="M76" s="2"/>
    </row>
    <row r="77" spans="1:13">
      <c r="A77" s="3"/>
      <c r="B77" s="2">
        <v>74</v>
      </c>
      <c r="C77" s="2"/>
      <c r="D77" s="2"/>
      <c r="E77" s="2"/>
      <c r="F77" s="2"/>
      <c r="G77" s="2"/>
      <c r="H77" s="2"/>
      <c r="I77" s="2"/>
      <c r="J77" s="2"/>
      <c r="K77" s="2"/>
      <c r="L77" s="2"/>
      <c r="M77" s="2"/>
    </row>
    <row r="78" spans="1:13">
      <c r="A78" s="3"/>
      <c r="B78" s="2">
        <v>75</v>
      </c>
      <c r="C78" s="2"/>
      <c r="D78" s="2"/>
      <c r="E78" s="2"/>
      <c r="F78" s="2"/>
      <c r="G78" s="2"/>
      <c r="H78" s="2"/>
      <c r="I78" s="2"/>
      <c r="J78" s="2"/>
      <c r="K78" s="2"/>
      <c r="L78" s="2"/>
      <c r="M78" s="2"/>
    </row>
    <row r="79" spans="1:13">
      <c r="A79" s="3"/>
      <c r="B79" s="2">
        <v>76</v>
      </c>
      <c r="C79" s="2"/>
      <c r="D79" s="2"/>
      <c r="E79" s="2"/>
      <c r="F79" s="2"/>
      <c r="G79" s="2"/>
      <c r="H79" s="2"/>
      <c r="I79" s="2"/>
      <c r="J79" s="2"/>
      <c r="K79" s="2"/>
      <c r="L79" s="2"/>
      <c r="M79" s="2"/>
    </row>
    <row r="80" spans="1:13">
      <c r="A80" s="3"/>
      <c r="B80" s="2">
        <v>77</v>
      </c>
      <c r="C80" s="2"/>
      <c r="D80" s="2"/>
      <c r="E80" s="2"/>
      <c r="F80" s="2"/>
      <c r="G80" s="2"/>
      <c r="H80" s="2"/>
      <c r="I80" s="2"/>
      <c r="J80" s="2"/>
      <c r="K80" s="2"/>
      <c r="L80" s="2"/>
      <c r="M80" s="2"/>
    </row>
    <row r="81" spans="1:13">
      <c r="A81" s="3"/>
      <c r="B81" s="2">
        <v>78</v>
      </c>
      <c r="C81" s="2"/>
      <c r="D81" s="2"/>
      <c r="E81" s="2"/>
      <c r="F81" s="2"/>
      <c r="G81" s="2"/>
      <c r="H81" s="2"/>
      <c r="I81" s="2"/>
      <c r="J81" s="2"/>
      <c r="K81" s="2"/>
      <c r="L81" s="2"/>
      <c r="M81" s="2"/>
    </row>
    <row r="82" spans="1:13">
      <c r="A82" s="3"/>
      <c r="B82" s="2">
        <v>79</v>
      </c>
      <c r="C82" s="2"/>
      <c r="D82" s="2"/>
      <c r="E82" s="2"/>
      <c r="F82" s="2"/>
      <c r="G82" s="2"/>
      <c r="H82" s="2"/>
      <c r="I82" s="2"/>
      <c r="J82" s="2"/>
      <c r="K82" s="2"/>
      <c r="L82" s="2"/>
      <c r="M82" s="2"/>
    </row>
    <row r="83" spans="1:13">
      <c r="A83" s="3"/>
      <c r="B83" s="2">
        <v>80</v>
      </c>
      <c r="C83" s="2"/>
      <c r="D83" s="2"/>
      <c r="E83" s="2"/>
      <c r="F83" s="2"/>
      <c r="G83" s="2"/>
      <c r="H83" s="2"/>
      <c r="I83" s="2"/>
      <c r="J83" s="2"/>
      <c r="K83" s="2"/>
      <c r="L83" s="2"/>
      <c r="M83" s="2"/>
    </row>
    <row r="84" spans="1:13">
      <c r="A84" s="3"/>
      <c r="B84" s="2">
        <v>81</v>
      </c>
      <c r="C84" s="2"/>
      <c r="D84" s="2"/>
      <c r="E84" s="2"/>
      <c r="F84" s="2"/>
      <c r="G84" s="2"/>
      <c r="H84" s="2"/>
      <c r="I84" s="2"/>
      <c r="J84" s="2"/>
      <c r="K84" s="2"/>
      <c r="L84" s="2"/>
      <c r="M84" s="2"/>
    </row>
    <row r="85" spans="1:13">
      <c r="A85" s="3"/>
      <c r="B85" s="2">
        <v>82</v>
      </c>
      <c r="C85" s="2"/>
      <c r="D85" s="2"/>
      <c r="E85" s="2"/>
      <c r="F85" s="2"/>
      <c r="G85" s="2"/>
      <c r="H85" s="2"/>
      <c r="I85" s="2"/>
      <c r="J85" s="2"/>
      <c r="K85" s="2"/>
      <c r="L85" s="2"/>
      <c r="M85" s="2"/>
    </row>
    <row r="86" spans="1:13">
      <c r="A86" s="3"/>
      <c r="B86" s="2">
        <v>83</v>
      </c>
      <c r="C86" s="2"/>
      <c r="D86" s="2"/>
      <c r="E86" s="2"/>
      <c r="F86" s="2"/>
      <c r="G86" s="2"/>
      <c r="H86" s="2"/>
      <c r="I86" s="2"/>
      <c r="J86" s="2"/>
      <c r="K86" s="2"/>
      <c r="L86" s="2"/>
      <c r="M86" s="2"/>
    </row>
    <row r="87" spans="1:13">
      <c r="A87" s="3"/>
      <c r="B87" s="2">
        <v>84</v>
      </c>
      <c r="C87" s="2"/>
      <c r="D87" s="2"/>
      <c r="E87" s="2"/>
      <c r="F87" s="2"/>
      <c r="G87" s="2"/>
      <c r="H87" s="2"/>
      <c r="I87" s="2"/>
      <c r="J87" s="2"/>
      <c r="K87" s="2"/>
      <c r="L87" s="2"/>
      <c r="M87" s="2"/>
    </row>
    <row r="88" spans="1:13">
      <c r="A88" s="3"/>
      <c r="B88" s="2">
        <v>85</v>
      </c>
      <c r="C88" s="2"/>
      <c r="D88" s="2"/>
      <c r="E88" s="2"/>
      <c r="F88" s="2"/>
      <c r="G88" s="2"/>
      <c r="H88" s="2"/>
      <c r="I88" s="2"/>
      <c r="J88" s="2"/>
      <c r="K88" s="2"/>
      <c r="L88" s="2"/>
      <c r="M88" s="2"/>
    </row>
    <row r="89" spans="1:13">
      <c r="A89" s="3"/>
      <c r="B89" s="2">
        <v>86</v>
      </c>
      <c r="C89" s="2"/>
      <c r="D89" s="2"/>
      <c r="E89" s="2"/>
      <c r="F89" s="2"/>
      <c r="G89" s="2"/>
      <c r="H89" s="2"/>
      <c r="I89" s="2"/>
      <c r="J89" s="2"/>
      <c r="K89" s="2"/>
      <c r="L89" s="2"/>
      <c r="M89" s="2"/>
    </row>
    <row r="90" spans="1:13">
      <c r="A90" s="3"/>
      <c r="B90" s="2">
        <v>87</v>
      </c>
      <c r="C90" s="2"/>
      <c r="D90" s="2"/>
      <c r="E90" s="2"/>
      <c r="F90" s="2"/>
      <c r="G90" s="2"/>
      <c r="H90" s="2"/>
      <c r="I90" s="2"/>
      <c r="J90" s="2"/>
      <c r="K90" s="2"/>
      <c r="L90" s="2"/>
      <c r="M90" s="2"/>
    </row>
    <row r="91" spans="1:13">
      <c r="A91" s="3"/>
      <c r="B91" s="2">
        <v>88</v>
      </c>
      <c r="C91" s="2"/>
      <c r="D91" s="2"/>
      <c r="E91" s="2"/>
      <c r="F91" s="2"/>
      <c r="G91" s="2"/>
      <c r="H91" s="2"/>
      <c r="I91" s="2"/>
      <c r="J91" s="2"/>
      <c r="K91" s="2"/>
      <c r="L91" s="2"/>
      <c r="M91" s="2"/>
    </row>
    <row r="92" spans="1:13">
      <c r="A92" s="3"/>
      <c r="B92" s="2">
        <v>89</v>
      </c>
      <c r="C92" s="2"/>
      <c r="D92" s="2"/>
      <c r="E92" s="2"/>
      <c r="F92" s="2"/>
      <c r="G92" s="2"/>
      <c r="H92" s="2"/>
      <c r="I92" s="2"/>
      <c r="J92" s="2"/>
      <c r="K92" s="2"/>
      <c r="L92" s="2"/>
      <c r="M92" s="2"/>
    </row>
    <row r="93" spans="1:13">
      <c r="A93" s="3"/>
      <c r="B93" s="2">
        <v>90</v>
      </c>
      <c r="C93" s="2"/>
      <c r="D93" s="2"/>
      <c r="E93" s="2"/>
      <c r="F93" s="2"/>
      <c r="G93" s="2"/>
      <c r="H93" s="2"/>
      <c r="I93" s="2"/>
      <c r="J93" s="2"/>
      <c r="K93" s="2"/>
      <c r="L93" s="2"/>
      <c r="M93" s="2"/>
    </row>
    <row r="94" spans="1:13">
      <c r="A94" s="3"/>
      <c r="B94" s="2">
        <v>91</v>
      </c>
      <c r="C94" s="2"/>
      <c r="D94" s="2"/>
      <c r="E94" s="2"/>
      <c r="F94" s="2"/>
      <c r="G94" s="2"/>
      <c r="H94" s="2"/>
      <c r="I94" s="2"/>
      <c r="J94" s="2"/>
      <c r="K94" s="2"/>
      <c r="L94" s="2"/>
      <c r="M94" s="2"/>
    </row>
    <row r="95" spans="1:13">
      <c r="A95" s="3"/>
      <c r="B95" s="2">
        <v>92</v>
      </c>
      <c r="C95" s="2"/>
      <c r="D95" s="2"/>
      <c r="E95" s="2"/>
      <c r="F95" s="2"/>
      <c r="G95" s="2"/>
      <c r="H95" s="2"/>
      <c r="I95" s="2"/>
      <c r="J95" s="2"/>
      <c r="K95" s="2"/>
      <c r="L95" s="2"/>
      <c r="M95" s="2"/>
    </row>
    <row r="96" spans="1:13">
      <c r="A96" s="3"/>
      <c r="B96" s="2">
        <v>93</v>
      </c>
      <c r="C96" s="2"/>
      <c r="D96" s="2"/>
      <c r="E96" s="2"/>
      <c r="F96" s="2"/>
      <c r="G96" s="2"/>
      <c r="H96" s="2"/>
      <c r="I96" s="2"/>
      <c r="J96" s="2"/>
      <c r="K96" s="2"/>
      <c r="L96" s="2"/>
      <c r="M96" s="2"/>
    </row>
    <row r="97" spans="1:13">
      <c r="A97" s="3"/>
      <c r="B97" s="2">
        <v>94</v>
      </c>
      <c r="C97" s="2"/>
      <c r="D97" s="2"/>
      <c r="E97" s="2"/>
      <c r="F97" s="2"/>
      <c r="G97" s="2"/>
      <c r="H97" s="2"/>
      <c r="I97" s="2"/>
      <c r="J97" s="2"/>
      <c r="K97" s="2"/>
      <c r="L97" s="2"/>
      <c r="M97" s="2"/>
    </row>
    <row r="98" spans="1:13">
      <c r="A98" s="3"/>
      <c r="B98" s="2">
        <v>95</v>
      </c>
      <c r="C98" s="2"/>
      <c r="D98" s="2"/>
      <c r="E98" s="2"/>
      <c r="F98" s="2"/>
      <c r="G98" s="2"/>
      <c r="H98" s="2"/>
      <c r="I98" s="2"/>
      <c r="J98" s="2"/>
      <c r="K98" s="2"/>
      <c r="L98" s="2"/>
      <c r="M98" s="2"/>
    </row>
    <row r="99" spans="1:13">
      <c r="A99" s="3"/>
      <c r="B99" s="2">
        <v>96</v>
      </c>
      <c r="C99" s="2"/>
      <c r="D99" s="2"/>
      <c r="E99" s="2"/>
      <c r="F99" s="2"/>
      <c r="G99" s="2"/>
      <c r="H99" s="2"/>
      <c r="I99" s="2"/>
      <c r="J99" s="2"/>
      <c r="K99" s="2"/>
      <c r="L99" s="2"/>
      <c r="M99" s="2"/>
    </row>
    <row r="100" spans="1:13">
      <c r="A100" s="3"/>
      <c r="B100" s="2">
        <v>97</v>
      </c>
      <c r="C100" s="2"/>
      <c r="D100" s="2"/>
      <c r="E100" s="2"/>
      <c r="F100" s="2"/>
      <c r="G100" s="2"/>
      <c r="H100" s="2"/>
      <c r="I100" s="2"/>
      <c r="J100" s="2"/>
      <c r="K100" s="2"/>
      <c r="L100" s="2"/>
      <c r="M100" s="2"/>
    </row>
    <row r="101" spans="1:13">
      <c r="A101" s="3"/>
      <c r="B101" s="2">
        <v>98</v>
      </c>
      <c r="C101" s="2"/>
      <c r="D101" s="2"/>
      <c r="E101" s="2"/>
      <c r="F101" s="2"/>
      <c r="G101" s="2"/>
      <c r="H101" s="2"/>
      <c r="I101" s="2"/>
      <c r="J101" s="2"/>
      <c r="K101" s="2"/>
      <c r="L101" s="2"/>
      <c r="M101" s="2"/>
    </row>
    <row r="102" spans="1:13">
      <c r="A102" s="3"/>
      <c r="B102" s="2">
        <v>99</v>
      </c>
      <c r="C102" s="2"/>
      <c r="D102" s="2"/>
      <c r="E102" s="2"/>
      <c r="F102" s="2"/>
      <c r="G102" s="2"/>
      <c r="H102" s="2"/>
      <c r="I102" s="2"/>
      <c r="J102" s="2"/>
      <c r="K102" s="2"/>
      <c r="L102" s="2"/>
      <c r="M102" s="2"/>
    </row>
    <row r="103" spans="1:13">
      <c r="A103" s="3"/>
      <c r="B103" s="2">
        <v>100</v>
      </c>
      <c r="C103" s="2"/>
      <c r="D103" s="2"/>
      <c r="E103" s="2"/>
      <c r="F103" s="2"/>
      <c r="G103" s="2"/>
      <c r="H103" s="2"/>
      <c r="I103" s="2"/>
      <c r="J103" s="2"/>
      <c r="K103" s="2"/>
      <c r="L103" s="2"/>
      <c r="M103" s="2"/>
    </row>
    <row r="104" spans="1:13">
      <c r="A104" s="3"/>
      <c r="B104" s="2">
        <v>101</v>
      </c>
      <c r="C104" s="2"/>
      <c r="D104" s="2"/>
      <c r="E104" s="2"/>
      <c r="F104" s="2"/>
      <c r="G104" s="2"/>
      <c r="H104" s="2"/>
      <c r="I104" s="2"/>
      <c r="J104" s="2"/>
      <c r="K104" s="2"/>
      <c r="L104" s="2"/>
      <c r="M104" s="2"/>
    </row>
    <row r="105" spans="1:13">
      <c r="A105" s="3"/>
      <c r="B105" s="2">
        <v>102</v>
      </c>
      <c r="C105" s="2"/>
      <c r="D105" s="2"/>
      <c r="E105" s="2"/>
      <c r="F105" s="2"/>
      <c r="G105" s="2"/>
      <c r="H105" s="2"/>
      <c r="I105" s="2"/>
      <c r="J105" s="2"/>
      <c r="K105" s="2"/>
      <c r="L105" s="2"/>
      <c r="M105" s="2"/>
    </row>
    <row r="106" spans="1:13">
      <c r="A106" s="3"/>
      <c r="B106" s="2">
        <v>103</v>
      </c>
      <c r="C106" s="2"/>
      <c r="D106" s="2"/>
      <c r="E106" s="2"/>
      <c r="F106" s="2"/>
      <c r="G106" s="2"/>
      <c r="H106" s="2"/>
      <c r="I106" s="2"/>
      <c r="J106" s="2"/>
      <c r="K106" s="2"/>
      <c r="L106" s="2"/>
      <c r="M106" s="2"/>
    </row>
    <row r="107" spans="1:13">
      <c r="A107" s="3"/>
      <c r="B107" s="2">
        <v>104</v>
      </c>
      <c r="C107" s="2"/>
      <c r="D107" s="2"/>
      <c r="E107" s="2"/>
      <c r="F107" s="2"/>
      <c r="G107" s="2"/>
      <c r="H107" s="2"/>
      <c r="I107" s="2"/>
      <c r="J107" s="2"/>
      <c r="K107" s="2"/>
      <c r="L107" s="2"/>
      <c r="M107" s="2"/>
    </row>
    <row r="108" spans="1:13">
      <c r="A108" s="3"/>
      <c r="B108" s="2">
        <v>105</v>
      </c>
      <c r="C108" s="2"/>
      <c r="D108" s="2"/>
      <c r="E108" s="2"/>
      <c r="F108" s="2"/>
      <c r="G108" s="2"/>
      <c r="H108" s="2"/>
      <c r="I108" s="2"/>
      <c r="J108" s="2"/>
      <c r="K108" s="2"/>
      <c r="L108" s="2"/>
      <c r="M108" s="2"/>
    </row>
    <row r="109" spans="1:13">
      <c r="A109" s="3"/>
      <c r="B109" s="2">
        <v>106</v>
      </c>
      <c r="C109" s="2"/>
      <c r="D109" s="2"/>
      <c r="E109" s="2"/>
      <c r="F109" s="2"/>
      <c r="G109" s="2"/>
      <c r="H109" s="2"/>
      <c r="I109" s="2"/>
      <c r="J109" s="2"/>
      <c r="K109" s="2"/>
      <c r="L109" s="2"/>
      <c r="M109" s="2"/>
    </row>
    <row r="110" spans="1:13">
      <c r="A110" s="3"/>
      <c r="B110" s="2">
        <v>107</v>
      </c>
      <c r="C110" s="2"/>
      <c r="D110" s="2"/>
      <c r="E110" s="2"/>
      <c r="F110" s="2"/>
      <c r="G110" s="2"/>
      <c r="H110" s="2"/>
      <c r="I110" s="2"/>
      <c r="J110" s="2"/>
      <c r="K110" s="2"/>
      <c r="L110" s="2"/>
      <c r="M110" s="2"/>
    </row>
    <row r="111" spans="1:13">
      <c r="A111" s="3"/>
      <c r="B111" s="2">
        <v>108</v>
      </c>
      <c r="C111" s="2"/>
      <c r="D111" s="2"/>
      <c r="E111" s="2"/>
      <c r="F111" s="2"/>
      <c r="G111" s="2"/>
      <c r="H111" s="2"/>
      <c r="I111" s="2"/>
      <c r="J111" s="2"/>
      <c r="K111" s="2"/>
      <c r="L111" s="2"/>
      <c r="M111" s="2"/>
    </row>
    <row r="112" spans="1:13">
      <c r="A112" s="3"/>
      <c r="B112" s="2">
        <v>109</v>
      </c>
      <c r="C112" s="2"/>
      <c r="D112" s="2"/>
      <c r="E112" s="2"/>
      <c r="F112" s="2"/>
      <c r="G112" s="2"/>
      <c r="H112" s="2"/>
      <c r="I112" s="2"/>
      <c r="J112" s="2"/>
      <c r="K112" s="2"/>
      <c r="L112" s="2"/>
      <c r="M112" s="2"/>
    </row>
    <row r="113" spans="1:13">
      <c r="A113" s="3"/>
      <c r="B113" s="2">
        <v>110</v>
      </c>
      <c r="C113" s="2"/>
      <c r="D113" s="2"/>
      <c r="E113" s="2"/>
      <c r="F113" s="2"/>
      <c r="G113" s="2"/>
      <c r="H113" s="2"/>
      <c r="I113" s="2"/>
      <c r="J113" s="2"/>
      <c r="K113" s="2"/>
      <c r="L113" s="2"/>
      <c r="M113" s="2"/>
    </row>
    <row r="114" spans="1:13">
      <c r="A114" s="3"/>
      <c r="B114" s="2">
        <v>111</v>
      </c>
      <c r="C114" s="2"/>
      <c r="D114" s="2"/>
      <c r="E114" s="2"/>
      <c r="F114" s="2"/>
      <c r="G114" s="2"/>
      <c r="H114" s="2"/>
      <c r="I114" s="2"/>
      <c r="J114" s="2"/>
      <c r="K114" s="2"/>
      <c r="L114" s="2"/>
      <c r="M114" s="2"/>
    </row>
    <row r="115" spans="1:13">
      <c r="A115" s="3"/>
      <c r="B115" s="2">
        <v>112</v>
      </c>
      <c r="C115" s="2"/>
      <c r="D115" s="2"/>
      <c r="E115" s="2"/>
      <c r="F115" s="2"/>
      <c r="G115" s="2"/>
      <c r="H115" s="2"/>
      <c r="I115" s="2"/>
      <c r="J115" s="2"/>
      <c r="K115" s="2"/>
      <c r="L115" s="2"/>
      <c r="M115" s="2"/>
    </row>
    <row r="116" spans="1:13">
      <c r="A116" s="3"/>
      <c r="B116" s="2">
        <v>113</v>
      </c>
      <c r="C116" s="2"/>
      <c r="D116" s="2"/>
      <c r="E116" s="2"/>
      <c r="F116" s="2"/>
      <c r="G116" s="2"/>
      <c r="H116" s="2"/>
      <c r="I116" s="2"/>
      <c r="J116" s="2"/>
      <c r="K116" s="2"/>
      <c r="L116" s="2"/>
      <c r="M116" s="2"/>
    </row>
    <row r="117" spans="1:13">
      <c r="A117" s="3"/>
      <c r="B117" s="2">
        <v>114</v>
      </c>
      <c r="C117" s="2"/>
      <c r="D117" s="2"/>
      <c r="E117" s="2"/>
      <c r="F117" s="2"/>
      <c r="G117" s="2"/>
      <c r="H117" s="2"/>
      <c r="I117" s="2"/>
      <c r="J117" s="2"/>
      <c r="K117" s="2"/>
      <c r="L117" s="2"/>
      <c r="M117" s="2"/>
    </row>
    <row r="118" spans="1:13">
      <c r="A118" s="3"/>
      <c r="B118" s="2">
        <v>115</v>
      </c>
      <c r="C118" s="2"/>
      <c r="D118" s="2"/>
      <c r="E118" s="2"/>
      <c r="F118" s="2"/>
      <c r="G118" s="2"/>
      <c r="H118" s="2"/>
      <c r="I118" s="2"/>
      <c r="J118" s="2"/>
      <c r="K118" s="2"/>
      <c r="L118" s="2"/>
      <c r="M118" s="2"/>
    </row>
    <row r="119" spans="1:13">
      <c r="A119" s="3"/>
      <c r="B119" s="2">
        <v>116</v>
      </c>
      <c r="C119" s="2"/>
      <c r="D119" s="2"/>
      <c r="E119" s="2"/>
      <c r="F119" s="2"/>
      <c r="G119" s="2"/>
      <c r="H119" s="2"/>
      <c r="I119" s="2"/>
      <c r="J119" s="2"/>
      <c r="K119" s="2"/>
      <c r="L119" s="2"/>
      <c r="M119" s="2"/>
    </row>
    <row r="120" spans="1:13">
      <c r="A120" s="3"/>
      <c r="B120" s="2">
        <v>117</v>
      </c>
      <c r="C120" s="2"/>
      <c r="D120" s="2"/>
      <c r="E120" s="2"/>
      <c r="F120" s="2"/>
      <c r="G120" s="2"/>
      <c r="H120" s="2"/>
      <c r="I120" s="2"/>
      <c r="J120" s="2"/>
      <c r="K120" s="2"/>
      <c r="L120" s="2"/>
      <c r="M120" s="2"/>
    </row>
    <row r="121" spans="1:13">
      <c r="A121" s="3"/>
      <c r="B121" s="2">
        <v>118</v>
      </c>
      <c r="C121" s="2"/>
      <c r="D121" s="2"/>
      <c r="E121" s="2"/>
      <c r="F121" s="2"/>
      <c r="G121" s="2"/>
      <c r="H121" s="2"/>
      <c r="I121" s="2"/>
      <c r="J121" s="2"/>
      <c r="K121" s="2"/>
      <c r="L121" s="2"/>
      <c r="M121" s="2"/>
    </row>
    <row r="122" spans="1:13">
      <c r="A122" s="3"/>
      <c r="B122" s="2">
        <v>119</v>
      </c>
      <c r="C122" s="2"/>
      <c r="D122" s="2"/>
      <c r="E122" s="2"/>
      <c r="F122" s="2"/>
      <c r="G122" s="2"/>
      <c r="H122" s="2"/>
      <c r="I122" s="2"/>
      <c r="J122" s="2"/>
      <c r="K122" s="2"/>
      <c r="L122" s="2"/>
      <c r="M122" s="2"/>
    </row>
    <row r="123" spans="1:13">
      <c r="A123" s="3"/>
      <c r="B123" s="2">
        <v>120</v>
      </c>
      <c r="C123" s="2"/>
      <c r="D123" s="2"/>
      <c r="E123" s="2"/>
      <c r="F123" s="2"/>
      <c r="G123" s="2"/>
      <c r="H123" s="2"/>
      <c r="I123" s="2"/>
      <c r="J123" s="2"/>
      <c r="K123" s="2"/>
      <c r="L123" s="2"/>
      <c r="M123" s="2"/>
    </row>
  </sheetData>
  <mergeCells count="1">
    <mergeCell ref="B1:C1"/>
  </mergeCells>
  <conditionalFormatting sqref="B4:M123">
    <cfRule type="expression" dxfId="16" priority="1">
      <formula>AND(B$3&lt;&gt;"-",LEN(B4)&gt;B$3)</formula>
    </cfRule>
    <cfRule type="expression" dxfId="15" priority="2">
      <formula>ISERROR(B$2)</formula>
    </cfRule>
    <cfRule type="expression" dxfId="14" priority="3">
      <formula>AND(B$3&lt;&gt;"-",LEN(B4)&gt;B$3)</formula>
    </cfRule>
    <cfRule type="expression" dxfId="13" priority="4">
      <formula>ISERROR(B$2)</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Feuil16">
    <tabColor rgb="FF00B050"/>
  </sheetPr>
  <dimension ref="A1:M123"/>
  <sheetViews>
    <sheetView zoomScale="85" zoomScaleNormal="85" workbookViewId="0">
      <pane ySplit="3" topLeftCell="A4" activePane="bottomLeft" state="frozen"/>
      <selection activeCell="G20" sqref="G20"/>
      <selection pane="bottomLeft" activeCell="K32" sqref="K32"/>
    </sheetView>
  </sheetViews>
  <sheetFormatPr baseColWidth="10" defaultRowHeight="15"/>
  <cols>
    <col min="2" max="11" width="14.7109375" customWidth="1"/>
  </cols>
  <sheetData>
    <row r="1" spans="1:13" ht="15.75" thickBot="1">
      <c r="A1" s="1" t="s">
        <v>7</v>
      </c>
      <c r="B1" s="29" t="s">
        <v>289</v>
      </c>
      <c r="C1" s="30"/>
      <c r="D1" s="12"/>
      <c r="E1" s="13"/>
      <c r="F1" s="13"/>
      <c r="G1" s="13"/>
      <c r="H1" s="13"/>
      <c r="I1" s="13"/>
      <c r="J1" s="13"/>
      <c r="K1" s="13"/>
      <c r="L1" s="13"/>
      <c r="M1" s="14"/>
    </row>
    <row r="2" spans="1:13" s="6" customFormat="1" ht="24.75" customHeight="1">
      <c r="A2" s="4" t="s">
        <v>5</v>
      </c>
      <c r="B2" s="5" t="str">
        <f t="array" ref="B2:M2">VLOOKUP($B$1&amp;(COLUMN()-1),SQL_Definition[],4,FALSE)</f>
        <v>ID_User</v>
      </c>
      <c r="C2" s="5" t="str">
        <v>Txt_Login</v>
      </c>
      <c r="D2" s="11" t="str">
        <v>Txt_Password</v>
      </c>
      <c r="E2" s="11" t="str">
        <v>Txt_First%Name</v>
      </c>
      <c r="F2" s="11" t="str">
        <v>Txt_Last%Name</v>
      </c>
      <c r="G2" s="11" t="str">
        <v>Txt_Email</v>
      </c>
      <c r="H2" s="11" t="str">
        <v>UpDT_Last&amp;update</v>
      </c>
      <c r="I2" s="11" t="e">
        <v>#N/A</v>
      </c>
      <c r="J2" s="11" t="e">
        <v>#N/A</v>
      </c>
      <c r="K2" s="5" t="e">
        <v>#N/A</v>
      </c>
      <c r="L2" s="5" t="e">
        <v>#N/A</v>
      </c>
      <c r="M2" s="5" t="e">
        <v>#N/A</v>
      </c>
    </row>
    <row r="3" spans="1:13" s="6" customFormat="1">
      <c r="A3" s="4" t="s">
        <v>9</v>
      </c>
      <c r="B3" s="5">
        <f t="array" ref="B3:M3">VLOOKUP($B$1&amp;(COLUMN()-1),SQL_Definition[],6,FALSE)</f>
        <v>4</v>
      </c>
      <c r="C3" s="5">
        <v>16</v>
      </c>
      <c r="D3" s="5">
        <v>128</v>
      </c>
      <c r="E3" s="5">
        <v>25</v>
      </c>
      <c r="F3" s="5">
        <v>25</v>
      </c>
      <c r="G3" s="5">
        <v>100</v>
      </c>
      <c r="H3" s="5">
        <v>0</v>
      </c>
      <c r="I3" s="5" t="e">
        <v>#N/A</v>
      </c>
      <c r="J3" s="5" t="e">
        <v>#N/A</v>
      </c>
      <c r="K3" s="5" t="e">
        <v>#N/A</v>
      </c>
      <c r="L3" s="5" t="e">
        <v>#N/A</v>
      </c>
      <c r="M3" s="5" t="e">
        <v>#N/A</v>
      </c>
    </row>
    <row r="4" spans="1:13">
      <c r="A4" s="3"/>
      <c r="B4" s="2">
        <v>1</v>
      </c>
      <c r="C4" s="2" t="s">
        <v>401</v>
      </c>
      <c r="D4" s="2" t="s">
        <v>402</v>
      </c>
      <c r="E4" s="2" t="s">
        <v>403</v>
      </c>
      <c r="F4" s="2" t="s">
        <v>404</v>
      </c>
      <c r="G4" s="2" t="s">
        <v>405</v>
      </c>
      <c r="H4" s="2" t="s">
        <v>406</v>
      </c>
      <c r="I4" s="2"/>
      <c r="J4" s="2"/>
      <c r="K4" s="2"/>
      <c r="L4" s="2"/>
      <c r="M4" s="2"/>
    </row>
    <row r="5" spans="1:13">
      <c r="A5" s="3"/>
      <c r="B5" s="2">
        <v>2</v>
      </c>
      <c r="C5" s="2" t="s">
        <v>407</v>
      </c>
      <c r="D5" s="2" t="s">
        <v>408</v>
      </c>
      <c r="E5" s="2" t="s">
        <v>409</v>
      </c>
      <c r="F5" s="2" t="s">
        <v>410</v>
      </c>
      <c r="G5" s="2" t="s">
        <v>292</v>
      </c>
      <c r="H5" s="2" t="s">
        <v>406</v>
      </c>
      <c r="I5" s="2"/>
      <c r="J5" s="2"/>
      <c r="K5" s="2"/>
      <c r="L5" s="2"/>
      <c r="M5" s="2"/>
    </row>
    <row r="6" spans="1:13">
      <c r="A6" s="3"/>
      <c r="B6" s="2">
        <v>3</v>
      </c>
      <c r="C6" s="2"/>
      <c r="D6" s="2"/>
      <c r="E6" s="2"/>
      <c r="F6" s="2"/>
      <c r="G6" s="2"/>
      <c r="H6" s="2"/>
      <c r="I6" s="2"/>
      <c r="J6" s="2"/>
      <c r="K6" s="2"/>
      <c r="L6" s="2"/>
      <c r="M6" s="2"/>
    </row>
    <row r="7" spans="1:13">
      <c r="A7" s="3"/>
      <c r="B7" s="2">
        <v>4</v>
      </c>
      <c r="C7" s="2"/>
      <c r="D7" s="2"/>
      <c r="E7" s="2"/>
      <c r="F7" s="2"/>
      <c r="G7" s="2"/>
      <c r="H7" s="2"/>
      <c r="I7" s="2"/>
      <c r="J7" s="2"/>
      <c r="K7" s="2"/>
      <c r="L7" s="2"/>
      <c r="M7" s="2"/>
    </row>
    <row r="8" spans="1:13">
      <c r="A8" s="3"/>
      <c r="B8" s="2">
        <v>5</v>
      </c>
      <c r="C8" s="2"/>
      <c r="D8" s="2"/>
      <c r="E8" s="2"/>
      <c r="F8" s="2"/>
      <c r="G8" s="2"/>
      <c r="H8" s="2"/>
      <c r="I8" s="2"/>
      <c r="J8" s="2"/>
      <c r="K8" s="2"/>
      <c r="L8" s="2"/>
      <c r="M8" s="2"/>
    </row>
    <row r="9" spans="1:13">
      <c r="A9" s="3"/>
      <c r="B9" s="2">
        <v>6</v>
      </c>
      <c r="C9" s="2"/>
      <c r="D9" s="2"/>
      <c r="E9" s="2"/>
      <c r="F9" s="2"/>
      <c r="G9" s="2"/>
      <c r="H9" s="2"/>
      <c r="I9" s="2"/>
      <c r="J9" s="2"/>
      <c r="K9" s="2"/>
      <c r="L9" s="2"/>
      <c r="M9" s="2"/>
    </row>
    <row r="10" spans="1:13">
      <c r="A10" s="3"/>
      <c r="B10" s="2">
        <v>7</v>
      </c>
      <c r="C10" s="2"/>
      <c r="D10" s="2"/>
      <c r="E10" s="2"/>
      <c r="F10" s="2"/>
      <c r="G10" s="2"/>
      <c r="H10" s="2"/>
      <c r="I10" s="2"/>
      <c r="J10" s="2"/>
      <c r="K10" s="2"/>
      <c r="L10" s="2"/>
      <c r="M10" s="2"/>
    </row>
    <row r="11" spans="1:13">
      <c r="A11" s="3"/>
      <c r="B11" s="2">
        <v>8</v>
      </c>
      <c r="C11" s="2"/>
      <c r="D11" s="2"/>
      <c r="E11" s="2"/>
      <c r="F11" s="2"/>
      <c r="G11" s="2"/>
      <c r="H11" s="2"/>
      <c r="I11" s="2"/>
      <c r="J11" s="2"/>
      <c r="K11" s="2"/>
      <c r="L11" s="2"/>
      <c r="M11" s="2"/>
    </row>
    <row r="12" spans="1:13">
      <c r="A12" s="3"/>
      <c r="B12" s="2">
        <v>9</v>
      </c>
      <c r="C12" s="2"/>
      <c r="D12" s="2"/>
      <c r="E12" s="2"/>
      <c r="F12" s="2"/>
      <c r="G12" s="2"/>
      <c r="H12" s="2"/>
      <c r="I12" s="2"/>
      <c r="J12" s="2"/>
      <c r="K12" s="2"/>
      <c r="L12" s="2"/>
      <c r="M12" s="2"/>
    </row>
    <row r="13" spans="1:13">
      <c r="A13" s="3"/>
      <c r="B13" s="2">
        <v>10</v>
      </c>
      <c r="C13" s="2"/>
      <c r="D13" s="2"/>
      <c r="E13" s="2"/>
      <c r="F13" s="2"/>
      <c r="G13" s="2"/>
      <c r="H13" s="2"/>
      <c r="I13" s="2"/>
      <c r="J13" s="2"/>
      <c r="K13" s="2"/>
      <c r="L13" s="2"/>
      <c r="M13" s="2"/>
    </row>
    <row r="14" spans="1:13">
      <c r="A14" s="3"/>
      <c r="B14" s="2">
        <v>11</v>
      </c>
      <c r="C14" s="2"/>
      <c r="D14" s="2"/>
      <c r="E14" s="2"/>
      <c r="F14" s="2"/>
      <c r="G14" s="2"/>
      <c r="H14" s="2"/>
      <c r="I14" s="2"/>
      <c r="J14" s="2"/>
      <c r="K14" s="2"/>
      <c r="L14" s="2"/>
      <c r="M14" s="2"/>
    </row>
    <row r="15" spans="1:13">
      <c r="A15" s="3"/>
      <c r="B15" s="2">
        <v>12</v>
      </c>
      <c r="C15" s="2"/>
      <c r="D15" s="2"/>
      <c r="E15" s="2"/>
      <c r="F15" s="2"/>
      <c r="G15" s="2"/>
      <c r="H15" s="2"/>
      <c r="I15" s="2"/>
      <c r="J15" s="2"/>
      <c r="K15" s="2"/>
      <c r="L15" s="2"/>
      <c r="M15" s="2"/>
    </row>
    <row r="16" spans="1:13">
      <c r="A16" s="3"/>
      <c r="B16" s="2">
        <v>13</v>
      </c>
      <c r="C16" s="2"/>
      <c r="D16" s="2"/>
      <c r="E16" s="2"/>
      <c r="F16" s="2"/>
      <c r="G16" s="2"/>
      <c r="H16" s="2"/>
      <c r="I16" s="2"/>
      <c r="J16" s="2"/>
      <c r="K16" s="2"/>
      <c r="L16" s="2"/>
      <c r="M16" s="2"/>
    </row>
    <row r="17" spans="1:13">
      <c r="A17" s="3"/>
      <c r="B17" s="2">
        <v>14</v>
      </c>
      <c r="C17" s="2"/>
      <c r="D17" s="2"/>
      <c r="E17" s="2"/>
      <c r="F17" s="2"/>
      <c r="G17" s="2"/>
      <c r="H17" s="2"/>
      <c r="I17" s="2"/>
      <c r="J17" s="2"/>
      <c r="K17" s="2"/>
      <c r="L17" s="2"/>
      <c r="M17" s="2"/>
    </row>
    <row r="18" spans="1:13">
      <c r="A18" s="3"/>
      <c r="B18" s="2">
        <v>15</v>
      </c>
      <c r="C18" s="2"/>
      <c r="D18" s="2"/>
      <c r="E18" s="2"/>
      <c r="F18" s="2"/>
      <c r="G18" s="2"/>
      <c r="H18" s="2"/>
      <c r="I18" s="2"/>
      <c r="J18" s="2"/>
      <c r="K18" s="2"/>
      <c r="L18" s="2"/>
      <c r="M18" s="2"/>
    </row>
    <row r="19" spans="1:13">
      <c r="A19" s="3"/>
      <c r="B19" s="2">
        <v>16</v>
      </c>
      <c r="C19" s="2"/>
      <c r="D19" s="2"/>
      <c r="E19" s="2"/>
      <c r="F19" s="2"/>
      <c r="G19" s="2"/>
      <c r="H19" s="2"/>
      <c r="I19" s="2"/>
      <c r="J19" s="2"/>
      <c r="K19" s="2"/>
      <c r="L19" s="2"/>
      <c r="M19" s="2"/>
    </row>
    <row r="20" spans="1:13">
      <c r="A20" s="3"/>
      <c r="B20" s="2">
        <v>17</v>
      </c>
      <c r="C20" s="2"/>
      <c r="D20" s="2"/>
      <c r="E20" s="2"/>
      <c r="F20" s="2"/>
      <c r="G20" s="2"/>
      <c r="H20" s="2"/>
      <c r="I20" s="2"/>
      <c r="J20" s="2"/>
      <c r="K20" s="2"/>
      <c r="L20" s="2"/>
      <c r="M20" s="2"/>
    </row>
    <row r="21" spans="1:13">
      <c r="A21" s="3"/>
      <c r="B21" s="2">
        <v>18</v>
      </c>
      <c r="C21" s="2"/>
      <c r="D21" s="2"/>
      <c r="E21" s="2"/>
      <c r="F21" s="2"/>
      <c r="G21" s="2"/>
      <c r="H21" s="2"/>
      <c r="I21" s="2"/>
      <c r="J21" s="2"/>
      <c r="K21" s="2"/>
      <c r="L21" s="2"/>
      <c r="M21" s="2"/>
    </row>
    <row r="22" spans="1:13">
      <c r="A22" s="3"/>
      <c r="B22" s="2">
        <v>19</v>
      </c>
      <c r="C22" s="2"/>
      <c r="D22" s="2"/>
      <c r="E22" s="2"/>
      <c r="F22" s="2"/>
      <c r="G22" s="2"/>
      <c r="H22" s="2"/>
      <c r="I22" s="2"/>
      <c r="J22" s="2"/>
      <c r="K22" s="2"/>
      <c r="L22" s="2"/>
      <c r="M22" s="2"/>
    </row>
    <row r="23" spans="1:13">
      <c r="A23" s="3"/>
      <c r="B23" s="2">
        <v>20</v>
      </c>
      <c r="C23" s="2"/>
      <c r="D23" s="2"/>
      <c r="E23" s="2"/>
      <c r="F23" s="2"/>
      <c r="G23" s="2"/>
      <c r="H23" s="2"/>
      <c r="I23" s="2"/>
      <c r="J23" s="2"/>
      <c r="K23" s="2"/>
      <c r="L23" s="2"/>
      <c r="M23" s="2"/>
    </row>
    <row r="24" spans="1:13">
      <c r="A24" s="3"/>
      <c r="B24" s="2">
        <v>21</v>
      </c>
      <c r="C24" s="2"/>
      <c r="D24" s="2"/>
      <c r="E24" s="2"/>
      <c r="F24" s="2"/>
      <c r="G24" s="2"/>
      <c r="H24" s="2"/>
      <c r="I24" s="2"/>
      <c r="J24" s="2"/>
      <c r="K24" s="2"/>
      <c r="L24" s="2"/>
      <c r="M24" s="2"/>
    </row>
    <row r="25" spans="1:13">
      <c r="A25" s="3"/>
      <c r="B25" s="2">
        <v>22</v>
      </c>
      <c r="C25" s="2"/>
      <c r="D25" s="2"/>
      <c r="E25" s="2"/>
      <c r="F25" s="2"/>
      <c r="G25" s="2"/>
      <c r="H25" s="2"/>
      <c r="I25" s="2"/>
      <c r="J25" s="2"/>
      <c r="K25" s="2"/>
      <c r="L25" s="2"/>
      <c r="M25" s="2"/>
    </row>
    <row r="26" spans="1:13">
      <c r="A26" s="3"/>
      <c r="B26" s="2">
        <v>23</v>
      </c>
      <c r="C26" s="2"/>
      <c r="D26" s="2"/>
      <c r="E26" s="2"/>
      <c r="F26" s="2"/>
      <c r="G26" s="2"/>
      <c r="H26" s="2"/>
      <c r="I26" s="2"/>
      <c r="J26" s="2"/>
      <c r="K26" s="2"/>
      <c r="L26" s="2"/>
      <c r="M26" s="2"/>
    </row>
    <row r="27" spans="1:13">
      <c r="A27" s="3"/>
      <c r="B27" s="2">
        <v>24</v>
      </c>
      <c r="C27" s="2"/>
      <c r="D27" s="2"/>
      <c r="E27" s="2"/>
      <c r="F27" s="2"/>
      <c r="G27" s="2"/>
      <c r="H27" s="2"/>
      <c r="I27" s="2"/>
      <c r="J27" s="2"/>
      <c r="K27" s="2"/>
      <c r="L27" s="2"/>
      <c r="M27" s="2"/>
    </row>
    <row r="28" spans="1:13">
      <c r="A28" s="3"/>
      <c r="B28" s="2">
        <v>25</v>
      </c>
      <c r="C28" s="2"/>
      <c r="D28" s="2"/>
      <c r="E28" s="2"/>
      <c r="F28" s="2"/>
      <c r="G28" s="2"/>
      <c r="H28" s="2"/>
      <c r="I28" s="2"/>
      <c r="J28" s="2"/>
      <c r="K28" s="2"/>
      <c r="L28" s="2"/>
      <c r="M28" s="2"/>
    </row>
    <row r="29" spans="1:13">
      <c r="A29" s="3"/>
      <c r="B29" s="2">
        <v>26</v>
      </c>
      <c r="C29" s="2"/>
      <c r="D29" s="2"/>
      <c r="E29" s="2"/>
      <c r="F29" s="2"/>
      <c r="G29" s="2"/>
      <c r="H29" s="2"/>
      <c r="I29" s="2"/>
      <c r="J29" s="2"/>
      <c r="K29" s="2"/>
      <c r="L29" s="2"/>
      <c r="M29" s="2"/>
    </row>
    <row r="30" spans="1:13">
      <c r="A30" s="3"/>
      <c r="B30" s="2">
        <v>27</v>
      </c>
      <c r="C30" s="2"/>
      <c r="D30" s="2"/>
      <c r="E30" s="2"/>
      <c r="F30" s="2"/>
      <c r="G30" s="2"/>
      <c r="H30" s="2"/>
      <c r="I30" s="2"/>
      <c r="J30" s="2"/>
      <c r="K30" s="2"/>
      <c r="L30" s="2"/>
      <c r="M30" s="2"/>
    </row>
    <row r="31" spans="1:13">
      <c r="A31" s="3"/>
      <c r="B31" s="2">
        <v>28</v>
      </c>
      <c r="C31" s="2"/>
      <c r="D31" s="2"/>
      <c r="E31" s="2"/>
      <c r="F31" s="2"/>
      <c r="G31" s="2"/>
      <c r="H31" s="2"/>
      <c r="I31" s="2"/>
      <c r="J31" s="2"/>
      <c r="K31" s="2"/>
      <c r="L31" s="2"/>
      <c r="M31" s="2"/>
    </row>
    <row r="32" spans="1:13">
      <c r="A32" s="3"/>
      <c r="B32" s="2">
        <v>29</v>
      </c>
      <c r="C32" s="2"/>
      <c r="D32" s="2"/>
      <c r="E32" s="2"/>
      <c r="F32" s="2"/>
      <c r="G32" s="2"/>
      <c r="H32" s="2"/>
      <c r="I32" s="2"/>
      <c r="J32" s="2"/>
      <c r="K32" s="2"/>
      <c r="L32" s="2"/>
      <c r="M32" s="2"/>
    </row>
    <row r="33" spans="1:13">
      <c r="A33" s="3"/>
      <c r="B33" s="2">
        <v>30</v>
      </c>
      <c r="C33" s="2"/>
      <c r="D33" s="2"/>
      <c r="E33" s="2"/>
      <c r="F33" s="2"/>
      <c r="G33" s="2"/>
      <c r="H33" s="2"/>
      <c r="I33" s="2"/>
      <c r="J33" s="2"/>
      <c r="K33" s="2"/>
      <c r="L33" s="2"/>
      <c r="M33" s="2"/>
    </row>
    <row r="34" spans="1:13">
      <c r="A34" s="3"/>
      <c r="B34" s="2">
        <v>31</v>
      </c>
      <c r="C34" s="2"/>
      <c r="D34" s="2"/>
      <c r="E34" s="2"/>
      <c r="F34" s="2"/>
      <c r="G34" s="2"/>
      <c r="H34" s="2"/>
      <c r="I34" s="2"/>
      <c r="J34" s="2"/>
      <c r="K34" s="2"/>
      <c r="L34" s="2"/>
      <c r="M34" s="2"/>
    </row>
    <row r="35" spans="1:13">
      <c r="A35" s="3"/>
      <c r="B35" s="2">
        <v>32</v>
      </c>
      <c r="C35" s="2"/>
      <c r="D35" s="2"/>
      <c r="E35" s="2"/>
      <c r="F35" s="2"/>
      <c r="G35" s="2"/>
      <c r="H35" s="2"/>
      <c r="I35" s="2"/>
      <c r="J35" s="2"/>
      <c r="K35" s="2"/>
      <c r="L35" s="2"/>
      <c r="M35" s="2"/>
    </row>
    <row r="36" spans="1:13">
      <c r="A36" s="3"/>
      <c r="B36" s="2">
        <v>33</v>
      </c>
      <c r="C36" s="2"/>
      <c r="D36" s="2"/>
      <c r="E36" s="2"/>
      <c r="F36" s="2"/>
      <c r="G36" s="2"/>
      <c r="H36" s="2"/>
      <c r="I36" s="2"/>
      <c r="J36" s="2"/>
      <c r="K36" s="2"/>
      <c r="L36" s="2"/>
      <c r="M36" s="2"/>
    </row>
    <row r="37" spans="1:13">
      <c r="A37" s="3"/>
      <c r="B37" s="2">
        <v>34</v>
      </c>
      <c r="C37" s="2"/>
      <c r="D37" s="2"/>
      <c r="E37" s="2"/>
      <c r="F37" s="2"/>
      <c r="G37" s="2"/>
      <c r="H37" s="2"/>
      <c r="I37" s="2"/>
      <c r="J37" s="2"/>
      <c r="K37" s="2"/>
      <c r="L37" s="2"/>
      <c r="M37" s="2"/>
    </row>
    <row r="38" spans="1:13">
      <c r="A38" s="3"/>
      <c r="B38" s="2">
        <v>35</v>
      </c>
      <c r="C38" s="2"/>
      <c r="D38" s="2"/>
      <c r="E38" s="2"/>
      <c r="F38" s="2"/>
      <c r="G38" s="2"/>
      <c r="H38" s="2"/>
      <c r="I38" s="2"/>
      <c r="J38" s="2"/>
      <c r="K38" s="2"/>
      <c r="L38" s="2"/>
      <c r="M38" s="2"/>
    </row>
    <row r="39" spans="1:13">
      <c r="A39" s="3"/>
      <c r="B39" s="2">
        <v>36</v>
      </c>
      <c r="C39" s="2"/>
      <c r="D39" s="2"/>
      <c r="E39" s="2"/>
      <c r="F39" s="2"/>
      <c r="G39" s="2"/>
      <c r="H39" s="2"/>
      <c r="I39" s="2"/>
      <c r="J39" s="2"/>
      <c r="K39" s="2"/>
      <c r="L39" s="2"/>
      <c r="M39" s="2"/>
    </row>
    <row r="40" spans="1:13">
      <c r="A40" s="3"/>
      <c r="B40" s="2">
        <v>37</v>
      </c>
      <c r="C40" s="2"/>
      <c r="D40" s="2"/>
      <c r="E40" s="2"/>
      <c r="F40" s="2"/>
      <c r="G40" s="2"/>
      <c r="H40" s="2"/>
      <c r="I40" s="2"/>
      <c r="J40" s="2"/>
      <c r="K40" s="2"/>
      <c r="L40" s="2"/>
      <c r="M40" s="2"/>
    </row>
    <row r="41" spans="1:13">
      <c r="A41" s="3"/>
      <c r="B41" s="2">
        <v>38</v>
      </c>
      <c r="C41" s="2"/>
      <c r="D41" s="2"/>
      <c r="E41" s="2"/>
      <c r="F41" s="2"/>
      <c r="G41" s="2"/>
      <c r="H41" s="2"/>
      <c r="I41" s="2"/>
      <c r="J41" s="2"/>
      <c r="K41" s="2"/>
      <c r="L41" s="2"/>
      <c r="M41" s="2"/>
    </row>
    <row r="42" spans="1:13">
      <c r="A42" s="3"/>
      <c r="B42" s="2">
        <v>39</v>
      </c>
      <c r="C42" s="2"/>
      <c r="D42" s="2"/>
      <c r="E42" s="2"/>
      <c r="F42" s="2"/>
      <c r="G42" s="2"/>
      <c r="H42" s="2"/>
      <c r="I42" s="2"/>
      <c r="J42" s="2"/>
      <c r="K42" s="2"/>
      <c r="L42" s="2"/>
      <c r="M42" s="2"/>
    </row>
    <row r="43" spans="1:13">
      <c r="A43" s="3"/>
      <c r="B43" s="2">
        <v>40</v>
      </c>
      <c r="C43" s="2"/>
      <c r="D43" s="2"/>
      <c r="E43" s="2"/>
      <c r="F43" s="2"/>
      <c r="G43" s="2"/>
      <c r="H43" s="2"/>
      <c r="I43" s="2"/>
      <c r="J43" s="2"/>
      <c r="K43" s="2"/>
      <c r="L43" s="2"/>
      <c r="M43" s="2"/>
    </row>
    <row r="44" spans="1:13">
      <c r="A44" s="3"/>
      <c r="B44" s="2">
        <v>41</v>
      </c>
      <c r="C44" s="2"/>
      <c r="D44" s="2"/>
      <c r="E44" s="2"/>
      <c r="F44" s="2"/>
      <c r="G44" s="2"/>
      <c r="H44" s="2"/>
      <c r="I44" s="2"/>
      <c r="J44" s="2"/>
      <c r="K44" s="2"/>
      <c r="L44" s="2"/>
      <c r="M44" s="2"/>
    </row>
    <row r="45" spans="1:13">
      <c r="A45" s="3"/>
      <c r="B45" s="2">
        <v>42</v>
      </c>
      <c r="C45" s="2"/>
      <c r="D45" s="2"/>
      <c r="E45" s="2"/>
      <c r="F45" s="2"/>
      <c r="G45" s="2"/>
      <c r="H45" s="2"/>
      <c r="I45" s="2"/>
      <c r="J45" s="2"/>
      <c r="K45" s="2"/>
      <c r="L45" s="2"/>
      <c r="M45" s="2"/>
    </row>
    <row r="46" spans="1:13">
      <c r="A46" s="3"/>
      <c r="B46" s="2">
        <v>43</v>
      </c>
      <c r="C46" s="2"/>
      <c r="D46" s="2"/>
      <c r="E46" s="2"/>
      <c r="F46" s="2"/>
      <c r="G46" s="2"/>
      <c r="H46" s="2"/>
      <c r="I46" s="2"/>
      <c r="J46" s="2"/>
      <c r="K46" s="2"/>
      <c r="L46" s="2"/>
      <c r="M46" s="2"/>
    </row>
    <row r="47" spans="1:13">
      <c r="A47" s="3"/>
      <c r="B47" s="2">
        <v>44</v>
      </c>
      <c r="C47" s="2"/>
      <c r="D47" s="2"/>
      <c r="E47" s="2"/>
      <c r="F47" s="2"/>
      <c r="G47" s="2"/>
      <c r="H47" s="2"/>
      <c r="I47" s="2"/>
      <c r="J47" s="2"/>
      <c r="K47" s="2"/>
      <c r="L47" s="2"/>
      <c r="M47" s="2"/>
    </row>
    <row r="48" spans="1:13">
      <c r="A48" s="3"/>
      <c r="B48" s="2">
        <v>45</v>
      </c>
      <c r="C48" s="2"/>
      <c r="D48" s="2"/>
      <c r="E48" s="2"/>
      <c r="F48" s="2"/>
      <c r="G48" s="2"/>
      <c r="H48" s="2"/>
      <c r="I48" s="2"/>
      <c r="J48" s="2"/>
      <c r="K48" s="2"/>
      <c r="L48" s="2"/>
      <c r="M48" s="2"/>
    </row>
    <row r="49" spans="1:13">
      <c r="A49" s="3"/>
      <c r="B49" s="2">
        <v>46</v>
      </c>
      <c r="C49" s="2"/>
      <c r="D49" s="2"/>
      <c r="E49" s="2"/>
      <c r="F49" s="2"/>
      <c r="G49" s="2"/>
      <c r="H49" s="2"/>
      <c r="I49" s="2"/>
      <c r="J49" s="2"/>
      <c r="K49" s="2"/>
      <c r="L49" s="2"/>
      <c r="M49" s="2"/>
    </row>
    <row r="50" spans="1:13">
      <c r="A50" s="3"/>
      <c r="B50" s="2">
        <v>47</v>
      </c>
      <c r="C50" s="2"/>
      <c r="D50" s="2"/>
      <c r="E50" s="2"/>
      <c r="F50" s="2"/>
      <c r="G50" s="2"/>
      <c r="H50" s="2"/>
      <c r="I50" s="2"/>
      <c r="J50" s="2"/>
      <c r="K50" s="2"/>
      <c r="L50" s="2"/>
      <c r="M50" s="2"/>
    </row>
    <row r="51" spans="1:13">
      <c r="A51" s="3"/>
      <c r="B51" s="2">
        <v>48</v>
      </c>
      <c r="C51" s="2"/>
      <c r="D51" s="2"/>
      <c r="E51" s="2"/>
      <c r="F51" s="2"/>
      <c r="G51" s="2"/>
      <c r="H51" s="2"/>
      <c r="I51" s="2"/>
      <c r="J51" s="2"/>
      <c r="K51" s="2"/>
      <c r="L51" s="2"/>
      <c r="M51" s="2"/>
    </row>
    <row r="52" spans="1:13">
      <c r="A52" s="3"/>
      <c r="B52" s="2">
        <v>49</v>
      </c>
      <c r="C52" s="2"/>
      <c r="D52" s="2"/>
      <c r="E52" s="2"/>
      <c r="F52" s="2"/>
      <c r="G52" s="2"/>
      <c r="H52" s="2"/>
      <c r="I52" s="2"/>
      <c r="J52" s="2"/>
      <c r="K52" s="2"/>
      <c r="L52" s="2"/>
      <c r="M52" s="2"/>
    </row>
    <row r="53" spans="1:13">
      <c r="A53" s="3"/>
      <c r="B53" s="2">
        <v>50</v>
      </c>
      <c r="C53" s="2"/>
      <c r="D53" s="2"/>
      <c r="E53" s="2"/>
      <c r="F53" s="2"/>
      <c r="G53" s="2"/>
      <c r="H53" s="2"/>
      <c r="I53" s="2"/>
      <c r="J53" s="2"/>
      <c r="K53" s="2"/>
      <c r="L53" s="2"/>
      <c r="M53" s="2"/>
    </row>
    <row r="54" spans="1:13">
      <c r="A54" s="3"/>
      <c r="B54" s="2">
        <v>51</v>
      </c>
      <c r="C54" s="2"/>
      <c r="D54" s="2"/>
      <c r="E54" s="2"/>
      <c r="F54" s="2"/>
      <c r="G54" s="2"/>
      <c r="H54" s="2"/>
      <c r="I54" s="2"/>
      <c r="J54" s="2"/>
      <c r="K54" s="2"/>
      <c r="L54" s="2"/>
      <c r="M54" s="2"/>
    </row>
    <row r="55" spans="1:13">
      <c r="A55" s="3"/>
      <c r="B55" s="2">
        <v>52</v>
      </c>
      <c r="C55" s="2"/>
      <c r="D55" s="2"/>
      <c r="E55" s="2"/>
      <c r="F55" s="2"/>
      <c r="G55" s="2"/>
      <c r="H55" s="2"/>
      <c r="I55" s="2"/>
      <c r="J55" s="2"/>
      <c r="K55" s="2"/>
      <c r="L55" s="2"/>
      <c r="M55" s="2"/>
    </row>
    <row r="56" spans="1:13">
      <c r="A56" s="3"/>
      <c r="B56" s="2">
        <v>53</v>
      </c>
      <c r="C56" s="2"/>
      <c r="D56" s="2"/>
      <c r="E56" s="2"/>
      <c r="F56" s="2"/>
      <c r="G56" s="2"/>
      <c r="H56" s="2"/>
      <c r="I56" s="2"/>
      <c r="J56" s="2"/>
      <c r="K56" s="2"/>
      <c r="L56" s="2"/>
      <c r="M56" s="2"/>
    </row>
    <row r="57" spans="1:13">
      <c r="A57" s="3"/>
      <c r="B57" s="2">
        <v>54</v>
      </c>
      <c r="C57" s="2"/>
      <c r="D57" s="2"/>
      <c r="E57" s="2"/>
      <c r="F57" s="2"/>
      <c r="G57" s="2"/>
      <c r="H57" s="2"/>
      <c r="I57" s="2"/>
      <c r="J57" s="2"/>
      <c r="K57" s="2"/>
      <c r="L57" s="2"/>
      <c r="M57" s="2"/>
    </row>
    <row r="58" spans="1:13">
      <c r="A58" s="3"/>
      <c r="B58" s="2">
        <v>55</v>
      </c>
      <c r="C58" s="2"/>
      <c r="D58" s="2"/>
      <c r="E58" s="2"/>
      <c r="F58" s="2"/>
      <c r="G58" s="2"/>
      <c r="H58" s="2"/>
      <c r="I58" s="2"/>
      <c r="J58" s="2"/>
      <c r="K58" s="2"/>
      <c r="L58" s="2"/>
      <c r="M58" s="2"/>
    </row>
    <row r="59" spans="1:13">
      <c r="A59" s="3"/>
      <c r="B59" s="2">
        <v>56</v>
      </c>
      <c r="C59" s="2"/>
      <c r="D59" s="2"/>
      <c r="E59" s="2"/>
      <c r="F59" s="2"/>
      <c r="G59" s="2"/>
      <c r="H59" s="2"/>
      <c r="I59" s="2"/>
      <c r="J59" s="2"/>
      <c r="K59" s="2"/>
      <c r="L59" s="2"/>
      <c r="M59" s="2"/>
    </row>
    <row r="60" spans="1:13">
      <c r="A60" s="3"/>
      <c r="B60" s="2">
        <v>57</v>
      </c>
      <c r="C60" s="2"/>
      <c r="D60" s="2"/>
      <c r="E60" s="2"/>
      <c r="F60" s="2"/>
      <c r="G60" s="2"/>
      <c r="H60" s="2"/>
      <c r="I60" s="2"/>
      <c r="J60" s="2"/>
      <c r="K60" s="2"/>
      <c r="L60" s="2"/>
      <c r="M60" s="2"/>
    </row>
    <row r="61" spans="1:13">
      <c r="A61" s="3"/>
      <c r="B61" s="2">
        <v>58</v>
      </c>
      <c r="C61" s="2"/>
      <c r="D61" s="2"/>
      <c r="E61" s="2"/>
      <c r="F61" s="2"/>
      <c r="G61" s="2"/>
      <c r="H61" s="2"/>
      <c r="I61" s="2"/>
      <c r="J61" s="2"/>
      <c r="K61" s="2"/>
      <c r="L61" s="2"/>
      <c r="M61" s="2"/>
    </row>
    <row r="62" spans="1:13">
      <c r="A62" s="3"/>
      <c r="B62" s="2">
        <v>59</v>
      </c>
      <c r="C62" s="2"/>
      <c r="D62" s="2"/>
      <c r="E62" s="2"/>
      <c r="F62" s="2"/>
      <c r="G62" s="2"/>
      <c r="H62" s="2"/>
      <c r="I62" s="2"/>
      <c r="J62" s="2"/>
      <c r="K62" s="2"/>
      <c r="L62" s="2"/>
      <c r="M62" s="2"/>
    </row>
    <row r="63" spans="1:13">
      <c r="A63" s="3"/>
      <c r="B63" s="2">
        <v>60</v>
      </c>
      <c r="C63" s="2"/>
      <c r="D63" s="2"/>
      <c r="E63" s="2"/>
      <c r="F63" s="2"/>
      <c r="G63" s="2"/>
      <c r="H63" s="2"/>
      <c r="I63" s="2"/>
      <c r="J63" s="2"/>
      <c r="K63" s="2"/>
      <c r="L63" s="2"/>
      <c r="M63" s="2"/>
    </row>
    <row r="64" spans="1:13">
      <c r="A64" s="3"/>
      <c r="B64" s="2">
        <v>61</v>
      </c>
      <c r="C64" s="2"/>
      <c r="D64" s="2"/>
      <c r="E64" s="2"/>
      <c r="F64" s="2"/>
      <c r="G64" s="2"/>
      <c r="H64" s="2"/>
      <c r="I64" s="2"/>
      <c r="J64" s="2"/>
      <c r="K64" s="2"/>
      <c r="L64" s="2"/>
      <c r="M64" s="2"/>
    </row>
    <row r="65" spans="1:13">
      <c r="A65" s="3"/>
      <c r="B65" s="2">
        <v>62</v>
      </c>
      <c r="C65" s="2"/>
      <c r="D65" s="2"/>
      <c r="E65" s="2"/>
      <c r="F65" s="2"/>
      <c r="G65" s="2"/>
      <c r="H65" s="2"/>
      <c r="I65" s="2"/>
      <c r="J65" s="2"/>
      <c r="K65" s="2"/>
      <c r="L65" s="2"/>
      <c r="M65" s="2"/>
    </row>
    <row r="66" spans="1:13">
      <c r="A66" s="3"/>
      <c r="B66" s="2">
        <v>63</v>
      </c>
      <c r="C66" s="2"/>
      <c r="D66" s="2"/>
      <c r="E66" s="2"/>
      <c r="F66" s="2"/>
      <c r="G66" s="2"/>
      <c r="H66" s="2"/>
      <c r="I66" s="2"/>
      <c r="J66" s="2"/>
      <c r="K66" s="2"/>
      <c r="L66" s="2"/>
      <c r="M66" s="2"/>
    </row>
    <row r="67" spans="1:13">
      <c r="A67" s="3"/>
      <c r="B67" s="2">
        <v>64</v>
      </c>
      <c r="C67" s="2"/>
      <c r="D67" s="2"/>
      <c r="E67" s="2"/>
      <c r="F67" s="2"/>
      <c r="G67" s="2"/>
      <c r="H67" s="2"/>
      <c r="I67" s="2"/>
      <c r="J67" s="2"/>
      <c r="K67" s="2"/>
      <c r="L67" s="2"/>
      <c r="M67" s="2"/>
    </row>
    <row r="68" spans="1:13">
      <c r="A68" s="3"/>
      <c r="B68" s="2">
        <v>65</v>
      </c>
      <c r="C68" s="2"/>
      <c r="D68" s="2"/>
      <c r="E68" s="2"/>
      <c r="F68" s="2"/>
      <c r="G68" s="2"/>
      <c r="H68" s="2"/>
      <c r="I68" s="2"/>
      <c r="J68" s="2"/>
      <c r="K68" s="2"/>
      <c r="L68" s="2"/>
      <c r="M68" s="2"/>
    </row>
    <row r="69" spans="1:13">
      <c r="A69" s="3"/>
      <c r="B69" s="2">
        <v>66</v>
      </c>
      <c r="C69" s="2"/>
      <c r="D69" s="2"/>
      <c r="E69" s="2"/>
      <c r="F69" s="2"/>
      <c r="G69" s="2"/>
      <c r="H69" s="2"/>
      <c r="I69" s="2"/>
      <c r="J69" s="2"/>
      <c r="K69" s="2"/>
      <c r="L69" s="2"/>
      <c r="M69" s="2"/>
    </row>
    <row r="70" spans="1:13">
      <c r="A70" s="3"/>
      <c r="B70" s="2">
        <v>67</v>
      </c>
      <c r="C70" s="2"/>
      <c r="D70" s="2"/>
      <c r="E70" s="2"/>
      <c r="F70" s="2"/>
      <c r="G70" s="2"/>
      <c r="H70" s="2"/>
      <c r="I70" s="2"/>
      <c r="J70" s="2"/>
      <c r="K70" s="2"/>
      <c r="L70" s="2"/>
      <c r="M70" s="2"/>
    </row>
    <row r="71" spans="1:13">
      <c r="A71" s="3"/>
      <c r="B71" s="2">
        <v>68</v>
      </c>
      <c r="C71" s="2"/>
      <c r="D71" s="2"/>
      <c r="E71" s="2"/>
      <c r="F71" s="2"/>
      <c r="G71" s="2"/>
      <c r="H71" s="2"/>
      <c r="I71" s="2"/>
      <c r="J71" s="2"/>
      <c r="K71" s="2"/>
      <c r="L71" s="2"/>
      <c r="M71" s="2"/>
    </row>
    <row r="72" spans="1:13">
      <c r="A72" s="3"/>
      <c r="B72" s="2">
        <v>69</v>
      </c>
      <c r="C72" s="2"/>
      <c r="D72" s="2"/>
      <c r="E72" s="2"/>
      <c r="F72" s="2"/>
      <c r="G72" s="2"/>
      <c r="H72" s="2"/>
      <c r="I72" s="2"/>
      <c r="J72" s="2"/>
      <c r="K72" s="2"/>
      <c r="L72" s="2"/>
      <c r="M72" s="2"/>
    </row>
    <row r="73" spans="1:13">
      <c r="A73" s="3"/>
      <c r="B73" s="2">
        <v>70</v>
      </c>
      <c r="C73" s="2"/>
      <c r="D73" s="2"/>
      <c r="E73" s="2"/>
      <c r="F73" s="2"/>
      <c r="G73" s="2"/>
      <c r="H73" s="2"/>
      <c r="I73" s="2"/>
      <c r="J73" s="2"/>
      <c r="K73" s="2"/>
      <c r="L73" s="2"/>
      <c r="M73" s="2"/>
    </row>
    <row r="74" spans="1:13">
      <c r="A74" s="3"/>
      <c r="B74" s="2">
        <v>71</v>
      </c>
      <c r="C74" s="2"/>
      <c r="D74" s="2"/>
      <c r="E74" s="2"/>
      <c r="F74" s="2"/>
      <c r="G74" s="2"/>
      <c r="H74" s="2"/>
      <c r="I74" s="2"/>
      <c r="J74" s="2"/>
      <c r="K74" s="2"/>
      <c r="L74" s="2"/>
      <c r="M74" s="2"/>
    </row>
    <row r="75" spans="1:13">
      <c r="A75" s="3"/>
      <c r="B75" s="2">
        <v>72</v>
      </c>
      <c r="C75" s="2"/>
      <c r="D75" s="2"/>
      <c r="E75" s="2"/>
      <c r="F75" s="2"/>
      <c r="G75" s="2"/>
      <c r="H75" s="2"/>
      <c r="I75" s="2"/>
      <c r="J75" s="2"/>
      <c r="K75" s="2"/>
      <c r="L75" s="2"/>
      <c r="M75" s="2"/>
    </row>
    <row r="76" spans="1:13">
      <c r="A76" s="3"/>
      <c r="B76" s="2">
        <v>73</v>
      </c>
      <c r="C76" s="2"/>
      <c r="D76" s="2"/>
      <c r="E76" s="2"/>
      <c r="F76" s="2"/>
      <c r="G76" s="2"/>
      <c r="H76" s="2"/>
      <c r="I76" s="2"/>
      <c r="J76" s="2"/>
      <c r="K76" s="2"/>
      <c r="L76" s="2"/>
      <c r="M76" s="2"/>
    </row>
    <row r="77" spans="1:13">
      <c r="A77" s="3"/>
      <c r="B77" s="2">
        <v>74</v>
      </c>
      <c r="C77" s="2"/>
      <c r="D77" s="2"/>
      <c r="E77" s="2"/>
      <c r="F77" s="2"/>
      <c r="G77" s="2"/>
      <c r="H77" s="2"/>
      <c r="I77" s="2"/>
      <c r="J77" s="2"/>
      <c r="K77" s="2"/>
      <c r="L77" s="2"/>
      <c r="M77" s="2"/>
    </row>
    <row r="78" spans="1:13">
      <c r="A78" s="3"/>
      <c r="B78" s="2">
        <v>75</v>
      </c>
      <c r="C78" s="2"/>
      <c r="D78" s="2"/>
      <c r="E78" s="2"/>
      <c r="F78" s="2"/>
      <c r="G78" s="2"/>
      <c r="H78" s="2"/>
      <c r="I78" s="2"/>
      <c r="J78" s="2"/>
      <c r="K78" s="2"/>
      <c r="L78" s="2"/>
      <c r="M78" s="2"/>
    </row>
    <row r="79" spans="1:13">
      <c r="A79" s="3"/>
      <c r="B79" s="2">
        <v>76</v>
      </c>
      <c r="C79" s="2"/>
      <c r="D79" s="2"/>
      <c r="E79" s="2"/>
      <c r="F79" s="2"/>
      <c r="G79" s="2"/>
      <c r="H79" s="2"/>
      <c r="I79" s="2"/>
      <c r="J79" s="2"/>
      <c r="K79" s="2"/>
      <c r="L79" s="2"/>
      <c r="M79" s="2"/>
    </row>
    <row r="80" spans="1:13">
      <c r="A80" s="3"/>
      <c r="B80" s="2">
        <v>77</v>
      </c>
      <c r="C80" s="2"/>
      <c r="D80" s="2"/>
      <c r="E80" s="2"/>
      <c r="F80" s="2"/>
      <c r="G80" s="2"/>
      <c r="H80" s="2"/>
      <c r="I80" s="2"/>
      <c r="J80" s="2"/>
      <c r="K80" s="2"/>
      <c r="L80" s="2"/>
      <c r="M80" s="2"/>
    </row>
    <row r="81" spans="1:13">
      <c r="A81" s="3"/>
      <c r="B81" s="2">
        <v>78</v>
      </c>
      <c r="C81" s="2"/>
      <c r="D81" s="2"/>
      <c r="E81" s="2"/>
      <c r="F81" s="2"/>
      <c r="G81" s="2"/>
      <c r="H81" s="2"/>
      <c r="I81" s="2"/>
      <c r="J81" s="2"/>
      <c r="K81" s="2"/>
      <c r="L81" s="2"/>
      <c r="M81" s="2"/>
    </row>
    <row r="82" spans="1:13">
      <c r="A82" s="3"/>
      <c r="B82" s="2">
        <v>79</v>
      </c>
      <c r="C82" s="2"/>
      <c r="D82" s="2"/>
      <c r="E82" s="2"/>
      <c r="F82" s="2"/>
      <c r="G82" s="2"/>
      <c r="H82" s="2"/>
      <c r="I82" s="2"/>
      <c r="J82" s="2"/>
      <c r="K82" s="2"/>
      <c r="L82" s="2"/>
      <c r="M82" s="2"/>
    </row>
    <row r="83" spans="1:13">
      <c r="A83" s="3"/>
      <c r="B83" s="2">
        <v>80</v>
      </c>
      <c r="C83" s="2"/>
      <c r="D83" s="2"/>
      <c r="E83" s="2"/>
      <c r="F83" s="2"/>
      <c r="G83" s="2"/>
      <c r="H83" s="2"/>
      <c r="I83" s="2"/>
      <c r="J83" s="2"/>
      <c r="K83" s="2"/>
      <c r="L83" s="2"/>
      <c r="M83" s="2"/>
    </row>
    <row r="84" spans="1:13">
      <c r="A84" s="3"/>
      <c r="B84" s="2">
        <v>81</v>
      </c>
      <c r="C84" s="2"/>
      <c r="D84" s="2"/>
      <c r="E84" s="2"/>
      <c r="F84" s="2"/>
      <c r="G84" s="2"/>
      <c r="H84" s="2"/>
      <c r="I84" s="2"/>
      <c r="J84" s="2"/>
      <c r="K84" s="2"/>
      <c r="L84" s="2"/>
      <c r="M84" s="2"/>
    </row>
    <row r="85" spans="1:13">
      <c r="A85" s="3"/>
      <c r="B85" s="2">
        <v>82</v>
      </c>
      <c r="C85" s="2"/>
      <c r="D85" s="2"/>
      <c r="E85" s="2"/>
      <c r="F85" s="2"/>
      <c r="G85" s="2"/>
      <c r="H85" s="2"/>
      <c r="I85" s="2"/>
      <c r="J85" s="2"/>
      <c r="K85" s="2"/>
      <c r="L85" s="2"/>
      <c r="M85" s="2"/>
    </row>
    <row r="86" spans="1:13">
      <c r="A86" s="3"/>
      <c r="B86" s="2">
        <v>83</v>
      </c>
      <c r="C86" s="2"/>
      <c r="D86" s="2"/>
      <c r="E86" s="2"/>
      <c r="F86" s="2"/>
      <c r="G86" s="2"/>
      <c r="H86" s="2"/>
      <c r="I86" s="2"/>
      <c r="J86" s="2"/>
      <c r="K86" s="2"/>
      <c r="L86" s="2"/>
      <c r="M86" s="2"/>
    </row>
    <row r="87" spans="1:13">
      <c r="A87" s="3"/>
      <c r="B87" s="2">
        <v>84</v>
      </c>
      <c r="C87" s="2"/>
      <c r="D87" s="2"/>
      <c r="E87" s="2"/>
      <c r="F87" s="2"/>
      <c r="G87" s="2"/>
      <c r="H87" s="2"/>
      <c r="I87" s="2"/>
      <c r="J87" s="2"/>
      <c r="K87" s="2"/>
      <c r="L87" s="2"/>
      <c r="M87" s="2"/>
    </row>
    <row r="88" spans="1:13">
      <c r="A88" s="3"/>
      <c r="B88" s="2">
        <v>85</v>
      </c>
      <c r="C88" s="2"/>
      <c r="D88" s="2"/>
      <c r="E88" s="2"/>
      <c r="F88" s="2"/>
      <c r="G88" s="2"/>
      <c r="H88" s="2"/>
      <c r="I88" s="2"/>
      <c r="J88" s="2"/>
      <c r="K88" s="2"/>
      <c r="L88" s="2"/>
      <c r="M88" s="2"/>
    </row>
    <row r="89" spans="1:13">
      <c r="A89" s="3"/>
      <c r="B89" s="2">
        <v>86</v>
      </c>
      <c r="C89" s="2"/>
      <c r="D89" s="2"/>
      <c r="E89" s="2"/>
      <c r="F89" s="2"/>
      <c r="G89" s="2"/>
      <c r="H89" s="2"/>
      <c r="I89" s="2"/>
      <c r="J89" s="2"/>
      <c r="K89" s="2"/>
      <c r="L89" s="2"/>
      <c r="M89" s="2"/>
    </row>
    <row r="90" spans="1:13">
      <c r="A90" s="3"/>
      <c r="B90" s="2">
        <v>87</v>
      </c>
      <c r="C90" s="2"/>
      <c r="D90" s="2"/>
      <c r="E90" s="2"/>
      <c r="F90" s="2"/>
      <c r="G90" s="2"/>
      <c r="H90" s="2"/>
      <c r="I90" s="2"/>
      <c r="J90" s="2"/>
      <c r="K90" s="2"/>
      <c r="L90" s="2"/>
      <c r="M90" s="2"/>
    </row>
    <row r="91" spans="1:13">
      <c r="A91" s="3"/>
      <c r="B91" s="2">
        <v>88</v>
      </c>
      <c r="C91" s="2"/>
      <c r="D91" s="2"/>
      <c r="E91" s="2"/>
      <c r="F91" s="2"/>
      <c r="G91" s="2"/>
      <c r="H91" s="2"/>
      <c r="I91" s="2"/>
      <c r="J91" s="2"/>
      <c r="K91" s="2"/>
      <c r="L91" s="2"/>
      <c r="M91" s="2"/>
    </row>
    <row r="92" spans="1:13">
      <c r="A92" s="3"/>
      <c r="B92" s="2">
        <v>89</v>
      </c>
      <c r="C92" s="2"/>
      <c r="D92" s="2"/>
      <c r="E92" s="2"/>
      <c r="F92" s="2"/>
      <c r="G92" s="2"/>
      <c r="H92" s="2"/>
      <c r="I92" s="2"/>
      <c r="J92" s="2"/>
      <c r="K92" s="2"/>
      <c r="L92" s="2"/>
      <c r="M92" s="2"/>
    </row>
    <row r="93" spans="1:13">
      <c r="A93" s="3"/>
      <c r="B93" s="2">
        <v>90</v>
      </c>
      <c r="C93" s="2"/>
      <c r="D93" s="2"/>
      <c r="E93" s="2"/>
      <c r="F93" s="2"/>
      <c r="G93" s="2"/>
      <c r="H93" s="2"/>
      <c r="I93" s="2"/>
      <c r="J93" s="2"/>
      <c r="K93" s="2"/>
      <c r="L93" s="2"/>
      <c r="M93" s="2"/>
    </row>
    <row r="94" spans="1:13">
      <c r="A94" s="3"/>
      <c r="B94" s="2">
        <v>91</v>
      </c>
      <c r="C94" s="2"/>
      <c r="D94" s="2"/>
      <c r="E94" s="2"/>
      <c r="F94" s="2"/>
      <c r="G94" s="2"/>
      <c r="H94" s="2"/>
      <c r="I94" s="2"/>
      <c r="J94" s="2"/>
      <c r="K94" s="2"/>
      <c r="L94" s="2"/>
      <c r="M94" s="2"/>
    </row>
    <row r="95" spans="1:13">
      <c r="A95" s="3"/>
      <c r="B95" s="2">
        <v>92</v>
      </c>
      <c r="C95" s="2"/>
      <c r="D95" s="2"/>
      <c r="E95" s="2"/>
      <c r="F95" s="2"/>
      <c r="G95" s="2"/>
      <c r="H95" s="2"/>
      <c r="I95" s="2"/>
      <c r="J95" s="2"/>
      <c r="K95" s="2"/>
      <c r="L95" s="2"/>
      <c r="M95" s="2"/>
    </row>
    <row r="96" spans="1:13">
      <c r="A96" s="3"/>
      <c r="B96" s="2">
        <v>93</v>
      </c>
      <c r="C96" s="2"/>
      <c r="D96" s="2"/>
      <c r="E96" s="2"/>
      <c r="F96" s="2"/>
      <c r="G96" s="2"/>
      <c r="H96" s="2"/>
      <c r="I96" s="2"/>
      <c r="J96" s="2"/>
      <c r="K96" s="2"/>
      <c r="L96" s="2"/>
      <c r="M96" s="2"/>
    </row>
    <row r="97" spans="1:13">
      <c r="A97" s="3"/>
      <c r="B97" s="2">
        <v>94</v>
      </c>
      <c r="C97" s="2"/>
      <c r="D97" s="2"/>
      <c r="E97" s="2"/>
      <c r="F97" s="2"/>
      <c r="G97" s="2"/>
      <c r="H97" s="2"/>
      <c r="I97" s="2"/>
      <c r="J97" s="2"/>
      <c r="K97" s="2"/>
      <c r="L97" s="2"/>
      <c r="M97" s="2"/>
    </row>
    <row r="98" spans="1:13">
      <c r="A98" s="3"/>
      <c r="B98" s="2">
        <v>95</v>
      </c>
      <c r="C98" s="2"/>
      <c r="D98" s="2"/>
      <c r="E98" s="2"/>
      <c r="F98" s="2"/>
      <c r="G98" s="2"/>
      <c r="H98" s="2"/>
      <c r="I98" s="2"/>
      <c r="J98" s="2"/>
      <c r="K98" s="2"/>
      <c r="L98" s="2"/>
      <c r="M98" s="2"/>
    </row>
    <row r="99" spans="1:13">
      <c r="A99" s="3"/>
      <c r="B99" s="2">
        <v>96</v>
      </c>
      <c r="C99" s="2"/>
      <c r="D99" s="2"/>
      <c r="E99" s="2"/>
      <c r="F99" s="2"/>
      <c r="G99" s="2"/>
      <c r="H99" s="2"/>
      <c r="I99" s="2"/>
      <c r="J99" s="2"/>
      <c r="K99" s="2"/>
      <c r="L99" s="2"/>
      <c r="M99" s="2"/>
    </row>
    <row r="100" spans="1:13">
      <c r="A100" s="3"/>
      <c r="B100" s="2">
        <v>97</v>
      </c>
      <c r="C100" s="2"/>
      <c r="D100" s="2"/>
      <c r="E100" s="2"/>
      <c r="F100" s="2"/>
      <c r="G100" s="2"/>
      <c r="H100" s="2"/>
      <c r="I100" s="2"/>
      <c r="J100" s="2"/>
      <c r="K100" s="2"/>
      <c r="L100" s="2"/>
      <c r="M100" s="2"/>
    </row>
    <row r="101" spans="1:13">
      <c r="A101" s="3"/>
      <c r="B101" s="2">
        <v>98</v>
      </c>
      <c r="C101" s="2"/>
      <c r="D101" s="2"/>
      <c r="E101" s="2"/>
      <c r="F101" s="2"/>
      <c r="G101" s="2"/>
      <c r="H101" s="2"/>
      <c r="I101" s="2"/>
      <c r="J101" s="2"/>
      <c r="K101" s="2"/>
      <c r="L101" s="2"/>
      <c r="M101" s="2"/>
    </row>
    <row r="102" spans="1:13">
      <c r="A102" s="3"/>
      <c r="B102" s="2">
        <v>99</v>
      </c>
      <c r="C102" s="2"/>
      <c r="D102" s="2"/>
      <c r="E102" s="2"/>
      <c r="F102" s="2"/>
      <c r="G102" s="2"/>
      <c r="H102" s="2"/>
      <c r="I102" s="2"/>
      <c r="J102" s="2"/>
      <c r="K102" s="2"/>
      <c r="L102" s="2"/>
      <c r="M102" s="2"/>
    </row>
    <row r="103" spans="1:13">
      <c r="A103" s="3"/>
      <c r="B103" s="2">
        <v>100</v>
      </c>
      <c r="C103" s="2"/>
      <c r="D103" s="2"/>
      <c r="E103" s="2"/>
      <c r="F103" s="2"/>
      <c r="G103" s="2"/>
      <c r="H103" s="2"/>
      <c r="I103" s="2"/>
      <c r="J103" s="2"/>
      <c r="K103" s="2"/>
      <c r="L103" s="2"/>
      <c r="M103" s="2"/>
    </row>
    <row r="104" spans="1:13">
      <c r="A104" s="3"/>
      <c r="B104" s="2">
        <v>101</v>
      </c>
      <c r="C104" s="2"/>
      <c r="D104" s="2"/>
      <c r="E104" s="2"/>
      <c r="F104" s="2"/>
      <c r="G104" s="2"/>
      <c r="H104" s="2"/>
      <c r="I104" s="2"/>
      <c r="J104" s="2"/>
      <c r="K104" s="2"/>
      <c r="L104" s="2"/>
      <c r="M104" s="2"/>
    </row>
    <row r="105" spans="1:13">
      <c r="A105" s="3"/>
      <c r="B105" s="2">
        <v>102</v>
      </c>
      <c r="C105" s="2"/>
      <c r="D105" s="2"/>
      <c r="E105" s="2"/>
      <c r="F105" s="2"/>
      <c r="G105" s="2"/>
      <c r="H105" s="2"/>
      <c r="I105" s="2"/>
      <c r="J105" s="2"/>
      <c r="K105" s="2"/>
      <c r="L105" s="2"/>
      <c r="M105" s="2"/>
    </row>
    <row r="106" spans="1:13">
      <c r="A106" s="3"/>
      <c r="B106" s="2">
        <v>103</v>
      </c>
      <c r="C106" s="2"/>
      <c r="D106" s="2"/>
      <c r="E106" s="2"/>
      <c r="F106" s="2"/>
      <c r="G106" s="2"/>
      <c r="H106" s="2"/>
      <c r="I106" s="2"/>
      <c r="J106" s="2"/>
      <c r="K106" s="2"/>
      <c r="L106" s="2"/>
      <c r="M106" s="2"/>
    </row>
    <row r="107" spans="1:13">
      <c r="A107" s="3"/>
      <c r="B107" s="2">
        <v>104</v>
      </c>
      <c r="C107" s="2"/>
      <c r="D107" s="2"/>
      <c r="E107" s="2"/>
      <c r="F107" s="2"/>
      <c r="G107" s="2"/>
      <c r="H107" s="2"/>
      <c r="I107" s="2"/>
      <c r="J107" s="2"/>
      <c r="K107" s="2"/>
      <c r="L107" s="2"/>
      <c r="M107" s="2"/>
    </row>
    <row r="108" spans="1:13">
      <c r="A108" s="3"/>
      <c r="B108" s="2">
        <v>105</v>
      </c>
      <c r="C108" s="2"/>
      <c r="D108" s="2"/>
      <c r="E108" s="2"/>
      <c r="F108" s="2"/>
      <c r="G108" s="2"/>
      <c r="H108" s="2"/>
      <c r="I108" s="2"/>
      <c r="J108" s="2"/>
      <c r="K108" s="2"/>
      <c r="L108" s="2"/>
      <c r="M108" s="2"/>
    </row>
    <row r="109" spans="1:13">
      <c r="A109" s="3"/>
      <c r="B109" s="2">
        <v>106</v>
      </c>
      <c r="C109" s="2"/>
      <c r="D109" s="2"/>
      <c r="E109" s="2"/>
      <c r="F109" s="2"/>
      <c r="G109" s="2"/>
      <c r="H109" s="2"/>
      <c r="I109" s="2"/>
      <c r="J109" s="2"/>
      <c r="K109" s="2"/>
      <c r="L109" s="2"/>
      <c r="M109" s="2"/>
    </row>
    <row r="110" spans="1:13">
      <c r="A110" s="3"/>
      <c r="B110" s="2">
        <v>107</v>
      </c>
      <c r="C110" s="2"/>
      <c r="D110" s="2"/>
      <c r="E110" s="2"/>
      <c r="F110" s="2"/>
      <c r="G110" s="2"/>
      <c r="H110" s="2"/>
      <c r="I110" s="2"/>
      <c r="J110" s="2"/>
      <c r="K110" s="2"/>
      <c r="L110" s="2"/>
      <c r="M110" s="2"/>
    </row>
    <row r="111" spans="1:13">
      <c r="A111" s="3"/>
      <c r="B111" s="2">
        <v>108</v>
      </c>
      <c r="C111" s="2"/>
      <c r="D111" s="2"/>
      <c r="E111" s="2"/>
      <c r="F111" s="2"/>
      <c r="G111" s="2"/>
      <c r="H111" s="2"/>
      <c r="I111" s="2"/>
      <c r="J111" s="2"/>
      <c r="K111" s="2"/>
      <c r="L111" s="2"/>
      <c r="M111" s="2"/>
    </row>
    <row r="112" spans="1:13">
      <c r="A112" s="3"/>
      <c r="B112" s="2">
        <v>109</v>
      </c>
      <c r="C112" s="2"/>
      <c r="D112" s="2"/>
      <c r="E112" s="2"/>
      <c r="F112" s="2"/>
      <c r="G112" s="2"/>
      <c r="H112" s="2"/>
      <c r="I112" s="2"/>
      <c r="J112" s="2"/>
      <c r="K112" s="2"/>
      <c r="L112" s="2"/>
      <c r="M112" s="2"/>
    </row>
    <row r="113" spans="1:13">
      <c r="A113" s="3"/>
      <c r="B113" s="2">
        <v>110</v>
      </c>
      <c r="C113" s="2"/>
      <c r="D113" s="2"/>
      <c r="E113" s="2"/>
      <c r="F113" s="2"/>
      <c r="G113" s="2"/>
      <c r="H113" s="2"/>
      <c r="I113" s="2"/>
      <c r="J113" s="2"/>
      <c r="K113" s="2"/>
      <c r="L113" s="2"/>
      <c r="M113" s="2"/>
    </row>
    <row r="114" spans="1:13">
      <c r="A114" s="3"/>
      <c r="B114" s="2">
        <v>111</v>
      </c>
      <c r="C114" s="2"/>
      <c r="D114" s="2"/>
      <c r="E114" s="2"/>
      <c r="F114" s="2"/>
      <c r="G114" s="2"/>
      <c r="H114" s="2"/>
      <c r="I114" s="2"/>
      <c r="J114" s="2"/>
      <c r="K114" s="2"/>
      <c r="L114" s="2"/>
      <c r="M114" s="2"/>
    </row>
    <row r="115" spans="1:13">
      <c r="A115" s="3"/>
      <c r="B115" s="2">
        <v>112</v>
      </c>
      <c r="C115" s="2"/>
      <c r="D115" s="2"/>
      <c r="E115" s="2"/>
      <c r="F115" s="2"/>
      <c r="G115" s="2"/>
      <c r="H115" s="2"/>
      <c r="I115" s="2"/>
      <c r="J115" s="2"/>
      <c r="K115" s="2"/>
      <c r="L115" s="2"/>
      <c r="M115" s="2"/>
    </row>
    <row r="116" spans="1:13">
      <c r="A116" s="3"/>
      <c r="B116" s="2">
        <v>113</v>
      </c>
      <c r="C116" s="2"/>
      <c r="D116" s="2"/>
      <c r="E116" s="2"/>
      <c r="F116" s="2"/>
      <c r="G116" s="2"/>
      <c r="H116" s="2"/>
      <c r="I116" s="2"/>
      <c r="J116" s="2"/>
      <c r="K116" s="2"/>
      <c r="L116" s="2"/>
      <c r="M116" s="2"/>
    </row>
    <row r="117" spans="1:13">
      <c r="A117" s="3"/>
      <c r="B117" s="2">
        <v>114</v>
      </c>
      <c r="C117" s="2"/>
      <c r="D117" s="2"/>
      <c r="E117" s="2"/>
      <c r="F117" s="2"/>
      <c r="G117" s="2"/>
      <c r="H117" s="2"/>
      <c r="I117" s="2"/>
      <c r="J117" s="2"/>
      <c r="K117" s="2"/>
      <c r="L117" s="2"/>
      <c r="M117" s="2"/>
    </row>
    <row r="118" spans="1:13">
      <c r="A118" s="3"/>
      <c r="B118" s="2">
        <v>115</v>
      </c>
      <c r="C118" s="2"/>
      <c r="D118" s="2"/>
      <c r="E118" s="2"/>
      <c r="F118" s="2"/>
      <c r="G118" s="2"/>
      <c r="H118" s="2"/>
      <c r="I118" s="2"/>
      <c r="J118" s="2"/>
      <c r="K118" s="2"/>
      <c r="L118" s="2"/>
      <c r="M118" s="2"/>
    </row>
    <row r="119" spans="1:13">
      <c r="A119" s="3"/>
      <c r="B119" s="2">
        <v>116</v>
      </c>
      <c r="C119" s="2"/>
      <c r="D119" s="2"/>
      <c r="E119" s="2"/>
      <c r="F119" s="2"/>
      <c r="G119" s="2"/>
      <c r="H119" s="2"/>
      <c r="I119" s="2"/>
      <c r="J119" s="2"/>
      <c r="K119" s="2"/>
      <c r="L119" s="2"/>
      <c r="M119" s="2"/>
    </row>
    <row r="120" spans="1:13">
      <c r="A120" s="3"/>
      <c r="B120" s="2">
        <v>117</v>
      </c>
      <c r="C120" s="2"/>
      <c r="D120" s="2"/>
      <c r="E120" s="2"/>
      <c r="F120" s="2"/>
      <c r="G120" s="2"/>
      <c r="H120" s="2"/>
      <c r="I120" s="2"/>
      <c r="J120" s="2"/>
      <c r="K120" s="2"/>
      <c r="L120" s="2"/>
      <c r="M120" s="2"/>
    </row>
    <row r="121" spans="1:13">
      <c r="A121" s="3"/>
      <c r="B121" s="2">
        <v>118</v>
      </c>
      <c r="C121" s="2"/>
      <c r="D121" s="2"/>
      <c r="E121" s="2"/>
      <c r="F121" s="2"/>
      <c r="G121" s="2"/>
      <c r="H121" s="2"/>
      <c r="I121" s="2"/>
      <c r="J121" s="2"/>
      <c r="K121" s="2"/>
      <c r="L121" s="2"/>
      <c r="M121" s="2"/>
    </row>
    <row r="122" spans="1:13">
      <c r="A122" s="3"/>
      <c r="B122" s="2">
        <v>119</v>
      </c>
      <c r="C122" s="2"/>
      <c r="D122" s="2"/>
      <c r="E122" s="2"/>
      <c r="F122" s="2"/>
      <c r="G122" s="2"/>
      <c r="H122" s="2"/>
      <c r="I122" s="2"/>
      <c r="J122" s="2"/>
      <c r="K122" s="2"/>
      <c r="L122" s="2"/>
      <c r="M122" s="2"/>
    </row>
    <row r="123" spans="1:13">
      <c r="A123" s="3"/>
      <c r="B123" s="2">
        <v>120</v>
      </c>
      <c r="C123" s="2"/>
      <c r="D123" s="2"/>
      <c r="E123" s="2"/>
      <c r="F123" s="2"/>
      <c r="G123" s="2"/>
      <c r="H123" s="2"/>
      <c r="I123" s="2"/>
      <c r="J123" s="2"/>
      <c r="K123" s="2"/>
      <c r="L123" s="2"/>
      <c r="M123" s="2"/>
    </row>
  </sheetData>
  <mergeCells count="1">
    <mergeCell ref="B1:C1"/>
  </mergeCells>
  <conditionalFormatting sqref="B4:M123">
    <cfRule type="expression" dxfId="12" priority="1">
      <formula>AND(B$3&lt;&gt;"-",LEN(B4)&gt;B$3)</formula>
    </cfRule>
    <cfRule type="expression" dxfId="11" priority="2">
      <formula>ISERROR(B$2)</formula>
    </cfRule>
    <cfRule type="expression" dxfId="10" priority="3">
      <formula>AND(B$3&lt;&gt;"-",LEN(B4)&gt;B$3)</formula>
    </cfRule>
    <cfRule type="expression" dxfId="9" priority="4">
      <formula>ISERROR(B$2)</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Feuil17">
    <tabColor rgb="FF00B050"/>
  </sheetPr>
  <dimension ref="A1:M123"/>
  <sheetViews>
    <sheetView zoomScale="85" zoomScaleNormal="85" workbookViewId="0">
      <pane ySplit="3" topLeftCell="A4" activePane="bottomLeft" state="frozen"/>
      <selection activeCell="G20" sqref="G20"/>
      <selection pane="bottomLeft"/>
    </sheetView>
  </sheetViews>
  <sheetFormatPr baseColWidth="10" defaultRowHeight="15"/>
  <cols>
    <col min="2" max="11" width="14.7109375" customWidth="1"/>
  </cols>
  <sheetData>
    <row r="1" spans="1:13" ht="15.75" thickBot="1">
      <c r="A1" s="1" t="s">
        <v>7</v>
      </c>
      <c r="B1" s="29" t="s">
        <v>290</v>
      </c>
      <c r="C1" s="30"/>
      <c r="D1" s="12"/>
      <c r="E1" s="13"/>
      <c r="F1" s="13"/>
      <c r="G1" s="13"/>
      <c r="H1" s="13"/>
      <c r="I1" s="13"/>
      <c r="J1" s="13"/>
      <c r="K1" s="13"/>
      <c r="L1" s="13"/>
      <c r="M1" s="14"/>
    </row>
    <row r="2" spans="1:13" s="6" customFormat="1" ht="24.75" customHeight="1">
      <c r="A2" s="4" t="s">
        <v>5</v>
      </c>
      <c r="B2" s="5" t="str">
        <f t="array" ref="B2:M2">VLOOKUP($B$1&amp;(COLUMN()-1),SQL_Definition[],4,FALSE)</f>
        <v>ID_MenuRating</v>
      </c>
      <c r="C2" s="5" t="str">
        <v>Txt_Name</v>
      </c>
      <c r="D2" s="11" t="str">
        <v>Txt_Email</v>
      </c>
      <c r="E2" s="11" t="str">
        <v>Txt_Comment</v>
      </c>
      <c r="F2" s="11" t="str">
        <v>Int_Rating</v>
      </c>
      <c r="G2" s="11" t="str">
        <v>Txt_Validated</v>
      </c>
      <c r="H2" s="11" t="e">
        <v>#N/A</v>
      </c>
      <c r="I2" s="11" t="e">
        <v>#N/A</v>
      </c>
      <c r="J2" s="11" t="e">
        <v>#N/A</v>
      </c>
      <c r="K2" s="5" t="e">
        <v>#N/A</v>
      </c>
      <c r="L2" s="5" t="e">
        <v>#N/A</v>
      </c>
      <c r="M2" s="5" t="e">
        <v>#N/A</v>
      </c>
    </row>
    <row r="3" spans="1:13" s="6" customFormat="1">
      <c r="A3" s="4" t="s">
        <v>9</v>
      </c>
      <c r="B3" s="5">
        <f t="array" ref="B3:M3">VLOOKUP($B$1&amp;(COLUMN()-1),SQL_Definition[],6,FALSE)</f>
        <v>4</v>
      </c>
      <c r="C3" s="5">
        <v>30</v>
      </c>
      <c r="D3" s="5">
        <v>50</v>
      </c>
      <c r="E3" s="5">
        <v>250</v>
      </c>
      <c r="F3" s="5">
        <v>4</v>
      </c>
      <c r="G3" s="5">
        <v>3</v>
      </c>
      <c r="H3" s="5" t="e">
        <v>#N/A</v>
      </c>
      <c r="I3" s="5" t="e">
        <v>#N/A</v>
      </c>
      <c r="J3" s="5" t="e">
        <v>#N/A</v>
      </c>
      <c r="K3" s="5" t="e">
        <v>#N/A</v>
      </c>
      <c r="L3" s="5" t="e">
        <v>#N/A</v>
      </c>
      <c r="M3" s="5" t="e">
        <v>#N/A</v>
      </c>
    </row>
    <row r="4" spans="1:13">
      <c r="A4" s="3"/>
      <c r="B4" s="2">
        <v>1</v>
      </c>
      <c r="C4" s="2"/>
      <c r="D4" s="2"/>
      <c r="E4" s="2"/>
      <c r="F4" s="2"/>
      <c r="G4" s="2"/>
      <c r="H4" s="2"/>
      <c r="I4" s="2"/>
      <c r="J4" s="2"/>
      <c r="K4" s="2"/>
      <c r="L4" s="2"/>
      <c r="M4" s="2"/>
    </row>
    <row r="5" spans="1:13">
      <c r="A5" s="3"/>
      <c r="B5" s="2">
        <v>2</v>
      </c>
      <c r="C5" s="2"/>
      <c r="D5" s="2"/>
      <c r="E5" s="2"/>
      <c r="F5" s="2"/>
      <c r="G5" s="2"/>
      <c r="H5" s="2"/>
      <c r="I5" s="2"/>
      <c r="J5" s="2"/>
      <c r="K5" s="2"/>
      <c r="L5" s="2"/>
      <c r="M5" s="2"/>
    </row>
    <row r="6" spans="1:13">
      <c r="A6" s="3"/>
      <c r="B6" s="2">
        <v>3</v>
      </c>
      <c r="C6" s="2"/>
      <c r="D6" s="2"/>
      <c r="E6" s="2"/>
      <c r="F6" s="2"/>
      <c r="G6" s="2"/>
      <c r="H6" s="2"/>
      <c r="I6" s="2"/>
      <c r="J6" s="2"/>
      <c r="K6" s="2"/>
      <c r="L6" s="2"/>
      <c r="M6" s="2"/>
    </row>
    <row r="7" spans="1:13">
      <c r="A7" s="3"/>
      <c r="B7" s="2">
        <v>4</v>
      </c>
      <c r="C7" s="2"/>
      <c r="D7" s="2"/>
      <c r="E7" s="2"/>
      <c r="F7" s="2"/>
      <c r="G7" s="2"/>
      <c r="H7" s="2"/>
      <c r="I7" s="2"/>
      <c r="J7" s="2"/>
      <c r="K7" s="2"/>
      <c r="L7" s="2"/>
      <c r="M7" s="2"/>
    </row>
    <row r="8" spans="1:13">
      <c r="A8" s="3"/>
      <c r="B8" s="2">
        <v>5</v>
      </c>
      <c r="C8" s="2"/>
      <c r="D8" s="2"/>
      <c r="E8" s="2"/>
      <c r="F8" s="2"/>
      <c r="G8" s="2"/>
      <c r="H8" s="2"/>
      <c r="I8" s="2"/>
      <c r="J8" s="2"/>
      <c r="K8" s="2"/>
      <c r="L8" s="2"/>
      <c r="M8" s="2"/>
    </row>
    <row r="9" spans="1:13">
      <c r="A9" s="3"/>
      <c r="B9" s="2">
        <v>6</v>
      </c>
      <c r="C9" s="2"/>
      <c r="D9" s="2"/>
      <c r="E9" s="2"/>
      <c r="F9" s="2"/>
      <c r="G9" s="2"/>
      <c r="H9" s="2"/>
      <c r="I9" s="2"/>
      <c r="J9" s="2"/>
      <c r="K9" s="2"/>
      <c r="L9" s="2"/>
      <c r="M9" s="2"/>
    </row>
    <row r="10" spans="1:13">
      <c r="A10" s="3"/>
      <c r="B10" s="2">
        <v>7</v>
      </c>
      <c r="C10" s="2"/>
      <c r="D10" s="2"/>
      <c r="E10" s="2"/>
      <c r="F10" s="2"/>
      <c r="G10" s="2"/>
      <c r="H10" s="2"/>
      <c r="I10" s="2"/>
      <c r="J10" s="2"/>
      <c r="K10" s="2"/>
      <c r="L10" s="2"/>
      <c r="M10" s="2"/>
    </row>
    <row r="11" spans="1:13">
      <c r="A11" s="3"/>
      <c r="B11" s="2">
        <v>8</v>
      </c>
      <c r="C11" s="2"/>
      <c r="D11" s="2"/>
      <c r="E11" s="2"/>
      <c r="F11" s="2"/>
      <c r="G11" s="2"/>
      <c r="H11" s="2"/>
      <c r="I11" s="2"/>
      <c r="J11" s="2"/>
      <c r="K11" s="2"/>
      <c r="L11" s="2"/>
      <c r="M11" s="2"/>
    </row>
    <row r="12" spans="1:13">
      <c r="A12" s="3"/>
      <c r="B12" s="2">
        <v>9</v>
      </c>
      <c r="C12" s="2"/>
      <c r="D12" s="2"/>
      <c r="E12" s="2"/>
      <c r="F12" s="2"/>
      <c r="G12" s="2"/>
      <c r="H12" s="2"/>
      <c r="I12" s="2"/>
      <c r="J12" s="2"/>
      <c r="K12" s="2"/>
      <c r="L12" s="2"/>
      <c r="M12" s="2"/>
    </row>
    <row r="13" spans="1:13">
      <c r="A13" s="3"/>
      <c r="B13" s="2">
        <v>10</v>
      </c>
      <c r="C13" s="2"/>
      <c r="D13" s="2"/>
      <c r="E13" s="2"/>
      <c r="F13" s="2"/>
      <c r="G13" s="2"/>
      <c r="H13" s="2"/>
      <c r="I13" s="2"/>
      <c r="J13" s="2"/>
      <c r="K13" s="2"/>
      <c r="L13" s="2"/>
      <c r="M13" s="2"/>
    </row>
    <row r="14" spans="1:13">
      <c r="A14" s="3"/>
      <c r="B14" s="2">
        <v>11</v>
      </c>
      <c r="C14" s="2"/>
      <c r="D14" s="2"/>
      <c r="E14" s="2"/>
      <c r="F14" s="2"/>
      <c r="G14" s="2"/>
      <c r="H14" s="2"/>
      <c r="I14" s="2"/>
      <c r="J14" s="2"/>
      <c r="K14" s="2"/>
      <c r="L14" s="2"/>
      <c r="M14" s="2"/>
    </row>
    <row r="15" spans="1:13">
      <c r="A15" s="3"/>
      <c r="B15" s="2">
        <v>12</v>
      </c>
      <c r="C15" s="2"/>
      <c r="D15" s="2"/>
      <c r="E15" s="2"/>
      <c r="F15" s="2"/>
      <c r="G15" s="2"/>
      <c r="H15" s="2"/>
      <c r="I15" s="2"/>
      <c r="J15" s="2"/>
      <c r="K15" s="2"/>
      <c r="L15" s="2"/>
      <c r="M15" s="2"/>
    </row>
    <row r="16" spans="1:13">
      <c r="A16" s="3"/>
      <c r="B16" s="2">
        <v>13</v>
      </c>
      <c r="C16" s="2"/>
      <c r="D16" s="2"/>
      <c r="E16" s="2"/>
      <c r="F16" s="2"/>
      <c r="G16" s="2"/>
      <c r="H16" s="2"/>
      <c r="I16" s="2"/>
      <c r="J16" s="2"/>
      <c r="K16" s="2"/>
      <c r="L16" s="2"/>
      <c r="M16" s="2"/>
    </row>
    <row r="17" spans="1:13">
      <c r="A17" s="3"/>
      <c r="B17" s="2">
        <v>14</v>
      </c>
      <c r="C17" s="2"/>
      <c r="D17" s="2"/>
      <c r="E17" s="2"/>
      <c r="F17" s="2"/>
      <c r="G17" s="2"/>
      <c r="H17" s="2"/>
      <c r="I17" s="2"/>
      <c r="J17" s="2"/>
      <c r="K17" s="2"/>
      <c r="L17" s="2"/>
      <c r="M17" s="2"/>
    </row>
    <row r="18" spans="1:13">
      <c r="A18" s="3"/>
      <c r="B18" s="2">
        <v>15</v>
      </c>
      <c r="C18" s="2"/>
      <c r="D18" s="2"/>
      <c r="E18" s="2"/>
      <c r="F18" s="2"/>
      <c r="G18" s="2"/>
      <c r="H18" s="2"/>
      <c r="I18" s="2"/>
      <c r="J18" s="2"/>
      <c r="K18" s="2"/>
      <c r="L18" s="2"/>
      <c r="M18" s="2"/>
    </row>
    <row r="19" spans="1:13">
      <c r="A19" s="3"/>
      <c r="B19" s="2">
        <v>16</v>
      </c>
      <c r="C19" s="2"/>
      <c r="D19" s="2"/>
      <c r="E19" s="2"/>
      <c r="F19" s="2"/>
      <c r="G19" s="2"/>
      <c r="H19" s="2"/>
      <c r="I19" s="2"/>
      <c r="J19" s="2"/>
      <c r="K19" s="2"/>
      <c r="L19" s="2"/>
      <c r="M19" s="2"/>
    </row>
    <row r="20" spans="1:13">
      <c r="A20" s="3"/>
      <c r="B20" s="2">
        <v>17</v>
      </c>
      <c r="C20" s="2"/>
      <c r="D20" s="2"/>
      <c r="E20" s="2"/>
      <c r="F20" s="2"/>
      <c r="G20" s="2"/>
      <c r="H20" s="2"/>
      <c r="I20" s="2"/>
      <c r="J20" s="2"/>
      <c r="K20" s="2"/>
      <c r="L20" s="2"/>
      <c r="M20" s="2"/>
    </row>
    <row r="21" spans="1:13">
      <c r="A21" s="3"/>
      <c r="B21" s="2">
        <v>18</v>
      </c>
      <c r="C21" s="2"/>
      <c r="D21" s="2"/>
      <c r="E21" s="2"/>
      <c r="F21" s="2"/>
      <c r="G21" s="2"/>
      <c r="H21" s="2"/>
      <c r="I21" s="2"/>
      <c r="J21" s="2"/>
      <c r="K21" s="2"/>
      <c r="L21" s="2"/>
      <c r="M21" s="2"/>
    </row>
    <row r="22" spans="1:13">
      <c r="A22" s="3"/>
      <c r="B22" s="2">
        <v>19</v>
      </c>
      <c r="C22" s="2"/>
      <c r="D22" s="2"/>
      <c r="E22" s="2"/>
      <c r="F22" s="2"/>
      <c r="G22" s="2"/>
      <c r="H22" s="2"/>
      <c r="I22" s="2"/>
      <c r="J22" s="2"/>
      <c r="K22" s="2"/>
      <c r="L22" s="2"/>
      <c r="M22" s="2"/>
    </row>
    <row r="23" spans="1:13">
      <c r="A23" s="3"/>
      <c r="B23" s="2">
        <v>20</v>
      </c>
      <c r="C23" s="2"/>
      <c r="D23" s="2"/>
      <c r="E23" s="2"/>
      <c r="F23" s="2"/>
      <c r="G23" s="2"/>
      <c r="H23" s="2"/>
      <c r="I23" s="2"/>
      <c r="J23" s="2"/>
      <c r="K23" s="2"/>
      <c r="L23" s="2"/>
      <c r="M23" s="2"/>
    </row>
    <row r="24" spans="1:13">
      <c r="A24" s="3"/>
      <c r="B24" s="2">
        <v>21</v>
      </c>
      <c r="C24" s="2"/>
      <c r="D24" s="2"/>
      <c r="E24" s="2"/>
      <c r="F24" s="2"/>
      <c r="G24" s="2"/>
      <c r="H24" s="2"/>
      <c r="I24" s="2"/>
      <c r="J24" s="2"/>
      <c r="K24" s="2"/>
      <c r="L24" s="2"/>
      <c r="M24" s="2"/>
    </row>
    <row r="25" spans="1:13">
      <c r="A25" s="3"/>
      <c r="B25" s="2">
        <v>22</v>
      </c>
      <c r="C25" s="2"/>
      <c r="D25" s="2"/>
      <c r="E25" s="2"/>
      <c r="F25" s="2"/>
      <c r="G25" s="2"/>
      <c r="H25" s="2"/>
      <c r="I25" s="2"/>
      <c r="J25" s="2"/>
      <c r="K25" s="2"/>
      <c r="L25" s="2"/>
      <c r="M25" s="2"/>
    </row>
    <row r="26" spans="1:13">
      <c r="A26" s="3"/>
      <c r="B26" s="2">
        <v>23</v>
      </c>
      <c r="C26" s="2"/>
      <c r="D26" s="2"/>
      <c r="E26" s="2"/>
      <c r="F26" s="2"/>
      <c r="G26" s="2"/>
      <c r="H26" s="2"/>
      <c r="I26" s="2"/>
      <c r="J26" s="2"/>
      <c r="K26" s="2"/>
      <c r="L26" s="2"/>
      <c r="M26" s="2"/>
    </row>
    <row r="27" spans="1:13">
      <c r="A27" s="3"/>
      <c r="B27" s="2">
        <v>24</v>
      </c>
      <c r="C27" s="2"/>
      <c r="D27" s="2"/>
      <c r="E27" s="2"/>
      <c r="F27" s="2"/>
      <c r="G27" s="2"/>
      <c r="H27" s="2"/>
      <c r="I27" s="2"/>
      <c r="J27" s="2"/>
      <c r="K27" s="2"/>
      <c r="L27" s="2"/>
      <c r="M27" s="2"/>
    </row>
    <row r="28" spans="1:13">
      <c r="A28" s="3"/>
      <c r="B28" s="2">
        <v>25</v>
      </c>
      <c r="C28" s="2"/>
      <c r="D28" s="2"/>
      <c r="E28" s="2"/>
      <c r="F28" s="2"/>
      <c r="G28" s="2"/>
      <c r="H28" s="2"/>
      <c r="I28" s="2"/>
      <c r="J28" s="2"/>
      <c r="K28" s="2"/>
      <c r="L28" s="2"/>
      <c r="M28" s="2"/>
    </row>
    <row r="29" spans="1:13">
      <c r="A29" s="3"/>
      <c r="B29" s="2">
        <v>26</v>
      </c>
      <c r="C29" s="2"/>
      <c r="D29" s="2"/>
      <c r="E29" s="2"/>
      <c r="F29" s="2"/>
      <c r="G29" s="2"/>
      <c r="H29" s="2"/>
      <c r="I29" s="2"/>
      <c r="J29" s="2"/>
      <c r="K29" s="2"/>
      <c r="L29" s="2"/>
      <c r="M29" s="2"/>
    </row>
    <row r="30" spans="1:13">
      <c r="A30" s="3"/>
      <c r="B30" s="2">
        <v>27</v>
      </c>
      <c r="C30" s="2"/>
      <c r="D30" s="2"/>
      <c r="E30" s="2"/>
      <c r="F30" s="2"/>
      <c r="G30" s="2"/>
      <c r="H30" s="2"/>
      <c r="I30" s="2"/>
      <c r="J30" s="2"/>
      <c r="K30" s="2"/>
      <c r="L30" s="2"/>
      <c r="M30" s="2"/>
    </row>
    <row r="31" spans="1:13">
      <c r="A31" s="3"/>
      <c r="B31" s="2">
        <v>28</v>
      </c>
      <c r="C31" s="2"/>
      <c r="D31" s="2"/>
      <c r="E31" s="2"/>
      <c r="F31" s="2"/>
      <c r="G31" s="2"/>
      <c r="H31" s="2"/>
      <c r="I31" s="2"/>
      <c r="J31" s="2"/>
      <c r="K31" s="2"/>
      <c r="L31" s="2"/>
      <c r="M31" s="2"/>
    </row>
    <row r="32" spans="1:13">
      <c r="A32" s="3"/>
      <c r="B32" s="2">
        <v>29</v>
      </c>
      <c r="C32" s="2"/>
      <c r="D32" s="2"/>
      <c r="E32" s="2"/>
      <c r="F32" s="2"/>
      <c r="G32" s="2"/>
      <c r="H32" s="2"/>
      <c r="I32" s="2"/>
      <c r="J32" s="2"/>
      <c r="K32" s="2"/>
      <c r="L32" s="2"/>
      <c r="M32" s="2"/>
    </row>
    <row r="33" spans="1:13">
      <c r="A33" s="3"/>
      <c r="B33" s="2">
        <v>30</v>
      </c>
      <c r="C33" s="2"/>
      <c r="D33" s="2"/>
      <c r="E33" s="2"/>
      <c r="F33" s="2"/>
      <c r="G33" s="2"/>
      <c r="H33" s="2"/>
      <c r="I33" s="2"/>
      <c r="J33" s="2"/>
      <c r="K33" s="2"/>
      <c r="L33" s="2"/>
      <c r="M33" s="2"/>
    </row>
    <row r="34" spans="1:13">
      <c r="A34" s="3"/>
      <c r="B34" s="2">
        <v>31</v>
      </c>
      <c r="C34" s="2"/>
      <c r="D34" s="2"/>
      <c r="E34" s="2"/>
      <c r="F34" s="2"/>
      <c r="G34" s="2"/>
      <c r="H34" s="2"/>
      <c r="I34" s="2"/>
      <c r="J34" s="2"/>
      <c r="K34" s="2"/>
      <c r="L34" s="2"/>
      <c r="M34" s="2"/>
    </row>
    <row r="35" spans="1:13">
      <c r="A35" s="3"/>
      <c r="B35" s="2">
        <v>32</v>
      </c>
      <c r="C35" s="2"/>
      <c r="D35" s="2"/>
      <c r="E35" s="2"/>
      <c r="F35" s="2"/>
      <c r="G35" s="2"/>
      <c r="H35" s="2"/>
      <c r="I35" s="2"/>
      <c r="J35" s="2"/>
      <c r="K35" s="2"/>
      <c r="L35" s="2"/>
      <c r="M35" s="2"/>
    </row>
    <row r="36" spans="1:13">
      <c r="A36" s="3"/>
      <c r="B36" s="2">
        <v>33</v>
      </c>
      <c r="C36" s="2"/>
      <c r="D36" s="2"/>
      <c r="E36" s="2"/>
      <c r="F36" s="2"/>
      <c r="G36" s="2"/>
      <c r="H36" s="2"/>
      <c r="I36" s="2"/>
      <c r="J36" s="2"/>
      <c r="K36" s="2"/>
      <c r="L36" s="2"/>
      <c r="M36" s="2"/>
    </row>
    <row r="37" spans="1:13">
      <c r="A37" s="3"/>
      <c r="B37" s="2">
        <v>34</v>
      </c>
      <c r="C37" s="2"/>
      <c r="D37" s="2"/>
      <c r="E37" s="2"/>
      <c r="F37" s="2"/>
      <c r="G37" s="2"/>
      <c r="H37" s="2"/>
      <c r="I37" s="2"/>
      <c r="J37" s="2"/>
      <c r="K37" s="2"/>
      <c r="L37" s="2"/>
      <c r="M37" s="2"/>
    </row>
    <row r="38" spans="1:13">
      <c r="A38" s="3"/>
      <c r="B38" s="2">
        <v>35</v>
      </c>
      <c r="C38" s="2"/>
      <c r="D38" s="2"/>
      <c r="E38" s="2"/>
      <c r="F38" s="2"/>
      <c r="G38" s="2"/>
      <c r="H38" s="2"/>
      <c r="I38" s="2"/>
      <c r="J38" s="2"/>
      <c r="K38" s="2"/>
      <c r="L38" s="2"/>
      <c r="M38" s="2"/>
    </row>
    <row r="39" spans="1:13">
      <c r="A39" s="3"/>
      <c r="B39" s="2">
        <v>36</v>
      </c>
      <c r="C39" s="2"/>
      <c r="D39" s="2"/>
      <c r="E39" s="2"/>
      <c r="F39" s="2"/>
      <c r="G39" s="2"/>
      <c r="H39" s="2"/>
      <c r="I39" s="2"/>
      <c r="J39" s="2"/>
      <c r="K39" s="2"/>
      <c r="L39" s="2"/>
      <c r="M39" s="2"/>
    </row>
    <row r="40" spans="1:13">
      <c r="A40" s="3"/>
      <c r="B40" s="2">
        <v>37</v>
      </c>
      <c r="C40" s="2"/>
      <c r="D40" s="2"/>
      <c r="E40" s="2"/>
      <c r="F40" s="2"/>
      <c r="G40" s="2"/>
      <c r="H40" s="2"/>
      <c r="I40" s="2"/>
      <c r="J40" s="2"/>
      <c r="K40" s="2"/>
      <c r="L40" s="2"/>
      <c r="M40" s="2"/>
    </row>
    <row r="41" spans="1:13">
      <c r="A41" s="3"/>
      <c r="B41" s="2">
        <v>38</v>
      </c>
      <c r="C41" s="2"/>
      <c r="D41" s="2"/>
      <c r="E41" s="2"/>
      <c r="F41" s="2"/>
      <c r="G41" s="2"/>
      <c r="H41" s="2"/>
      <c r="I41" s="2"/>
      <c r="J41" s="2"/>
      <c r="K41" s="2"/>
      <c r="L41" s="2"/>
      <c r="M41" s="2"/>
    </row>
    <row r="42" spans="1:13">
      <c r="A42" s="3"/>
      <c r="B42" s="2">
        <v>39</v>
      </c>
      <c r="C42" s="2"/>
      <c r="D42" s="2"/>
      <c r="E42" s="2"/>
      <c r="F42" s="2"/>
      <c r="G42" s="2"/>
      <c r="H42" s="2"/>
      <c r="I42" s="2"/>
      <c r="J42" s="2"/>
      <c r="K42" s="2"/>
      <c r="L42" s="2"/>
      <c r="M42" s="2"/>
    </row>
    <row r="43" spans="1:13">
      <c r="A43" s="3"/>
      <c r="B43" s="2">
        <v>40</v>
      </c>
      <c r="C43" s="2"/>
      <c r="D43" s="2"/>
      <c r="E43" s="2"/>
      <c r="F43" s="2"/>
      <c r="G43" s="2"/>
      <c r="H43" s="2"/>
      <c r="I43" s="2"/>
      <c r="J43" s="2"/>
      <c r="K43" s="2"/>
      <c r="L43" s="2"/>
      <c r="M43" s="2"/>
    </row>
    <row r="44" spans="1:13">
      <c r="A44" s="3"/>
      <c r="B44" s="2">
        <v>41</v>
      </c>
      <c r="C44" s="2"/>
      <c r="D44" s="2"/>
      <c r="E44" s="2"/>
      <c r="F44" s="2"/>
      <c r="G44" s="2"/>
      <c r="H44" s="2"/>
      <c r="I44" s="2"/>
      <c r="J44" s="2"/>
      <c r="K44" s="2"/>
      <c r="L44" s="2"/>
      <c r="M44" s="2"/>
    </row>
    <row r="45" spans="1:13">
      <c r="A45" s="3"/>
      <c r="B45" s="2">
        <v>42</v>
      </c>
      <c r="C45" s="2"/>
      <c r="D45" s="2"/>
      <c r="E45" s="2"/>
      <c r="F45" s="2"/>
      <c r="G45" s="2"/>
      <c r="H45" s="2"/>
      <c r="I45" s="2"/>
      <c r="J45" s="2"/>
      <c r="K45" s="2"/>
      <c r="L45" s="2"/>
      <c r="M45" s="2"/>
    </row>
    <row r="46" spans="1:13">
      <c r="A46" s="3"/>
      <c r="B46" s="2">
        <v>43</v>
      </c>
      <c r="C46" s="2"/>
      <c r="D46" s="2"/>
      <c r="E46" s="2"/>
      <c r="F46" s="2"/>
      <c r="G46" s="2"/>
      <c r="H46" s="2"/>
      <c r="I46" s="2"/>
      <c r="J46" s="2"/>
      <c r="K46" s="2"/>
      <c r="L46" s="2"/>
      <c r="M46" s="2"/>
    </row>
    <row r="47" spans="1:13">
      <c r="A47" s="3"/>
      <c r="B47" s="2">
        <v>44</v>
      </c>
      <c r="C47" s="2"/>
      <c r="D47" s="2"/>
      <c r="E47" s="2"/>
      <c r="F47" s="2"/>
      <c r="G47" s="2"/>
      <c r="H47" s="2"/>
      <c r="I47" s="2"/>
      <c r="J47" s="2"/>
      <c r="K47" s="2"/>
      <c r="L47" s="2"/>
      <c r="M47" s="2"/>
    </row>
    <row r="48" spans="1:13">
      <c r="A48" s="3"/>
      <c r="B48" s="2">
        <v>45</v>
      </c>
      <c r="C48" s="2"/>
      <c r="D48" s="2"/>
      <c r="E48" s="2"/>
      <c r="F48" s="2"/>
      <c r="G48" s="2"/>
      <c r="H48" s="2"/>
      <c r="I48" s="2"/>
      <c r="J48" s="2"/>
      <c r="K48" s="2"/>
      <c r="L48" s="2"/>
      <c r="M48" s="2"/>
    </row>
    <row r="49" spans="1:13">
      <c r="A49" s="3"/>
      <c r="B49" s="2">
        <v>46</v>
      </c>
      <c r="C49" s="2"/>
      <c r="D49" s="2"/>
      <c r="E49" s="2"/>
      <c r="F49" s="2"/>
      <c r="G49" s="2"/>
      <c r="H49" s="2"/>
      <c r="I49" s="2"/>
      <c r="J49" s="2"/>
      <c r="K49" s="2"/>
      <c r="L49" s="2"/>
      <c r="M49" s="2"/>
    </row>
    <row r="50" spans="1:13">
      <c r="A50" s="3"/>
      <c r="B50" s="2">
        <v>47</v>
      </c>
      <c r="C50" s="2"/>
      <c r="D50" s="2"/>
      <c r="E50" s="2"/>
      <c r="F50" s="2"/>
      <c r="G50" s="2"/>
      <c r="H50" s="2"/>
      <c r="I50" s="2"/>
      <c r="J50" s="2"/>
      <c r="K50" s="2"/>
      <c r="L50" s="2"/>
      <c r="M50" s="2"/>
    </row>
    <row r="51" spans="1:13">
      <c r="A51" s="3"/>
      <c r="B51" s="2">
        <v>48</v>
      </c>
      <c r="C51" s="2"/>
      <c r="D51" s="2"/>
      <c r="E51" s="2"/>
      <c r="F51" s="2"/>
      <c r="G51" s="2"/>
      <c r="H51" s="2"/>
      <c r="I51" s="2"/>
      <c r="J51" s="2"/>
      <c r="K51" s="2"/>
      <c r="L51" s="2"/>
      <c r="M51" s="2"/>
    </row>
    <row r="52" spans="1:13">
      <c r="A52" s="3"/>
      <c r="B52" s="2">
        <v>49</v>
      </c>
      <c r="C52" s="2"/>
      <c r="D52" s="2"/>
      <c r="E52" s="2"/>
      <c r="F52" s="2"/>
      <c r="G52" s="2"/>
      <c r="H52" s="2"/>
      <c r="I52" s="2"/>
      <c r="J52" s="2"/>
      <c r="K52" s="2"/>
      <c r="L52" s="2"/>
      <c r="M52" s="2"/>
    </row>
    <row r="53" spans="1:13">
      <c r="A53" s="3"/>
      <c r="B53" s="2">
        <v>50</v>
      </c>
      <c r="C53" s="2"/>
      <c r="D53" s="2"/>
      <c r="E53" s="2"/>
      <c r="F53" s="2"/>
      <c r="G53" s="2"/>
      <c r="H53" s="2"/>
      <c r="I53" s="2"/>
      <c r="J53" s="2"/>
      <c r="K53" s="2"/>
      <c r="L53" s="2"/>
      <c r="M53" s="2"/>
    </row>
    <row r="54" spans="1:13">
      <c r="A54" s="3"/>
      <c r="B54" s="2">
        <v>51</v>
      </c>
      <c r="C54" s="2"/>
      <c r="D54" s="2"/>
      <c r="E54" s="2"/>
      <c r="F54" s="2"/>
      <c r="G54" s="2"/>
      <c r="H54" s="2"/>
      <c r="I54" s="2"/>
      <c r="J54" s="2"/>
      <c r="K54" s="2"/>
      <c r="L54" s="2"/>
      <c r="M54" s="2"/>
    </row>
    <row r="55" spans="1:13">
      <c r="A55" s="3"/>
      <c r="B55" s="2">
        <v>52</v>
      </c>
      <c r="C55" s="2"/>
      <c r="D55" s="2"/>
      <c r="E55" s="2"/>
      <c r="F55" s="2"/>
      <c r="G55" s="2"/>
      <c r="H55" s="2"/>
      <c r="I55" s="2"/>
      <c r="J55" s="2"/>
      <c r="K55" s="2"/>
      <c r="L55" s="2"/>
      <c r="M55" s="2"/>
    </row>
    <row r="56" spans="1:13">
      <c r="A56" s="3"/>
      <c r="B56" s="2">
        <v>53</v>
      </c>
      <c r="C56" s="2"/>
      <c r="D56" s="2"/>
      <c r="E56" s="2"/>
      <c r="F56" s="2"/>
      <c r="G56" s="2"/>
      <c r="H56" s="2"/>
      <c r="I56" s="2"/>
      <c r="J56" s="2"/>
      <c r="K56" s="2"/>
      <c r="L56" s="2"/>
      <c r="M56" s="2"/>
    </row>
    <row r="57" spans="1:13">
      <c r="A57" s="3"/>
      <c r="B57" s="2">
        <v>54</v>
      </c>
      <c r="C57" s="2"/>
      <c r="D57" s="2"/>
      <c r="E57" s="2"/>
      <c r="F57" s="2"/>
      <c r="G57" s="2"/>
      <c r="H57" s="2"/>
      <c r="I57" s="2"/>
      <c r="J57" s="2"/>
      <c r="K57" s="2"/>
      <c r="L57" s="2"/>
      <c r="M57" s="2"/>
    </row>
    <row r="58" spans="1:13">
      <c r="A58" s="3"/>
      <c r="B58" s="2">
        <v>55</v>
      </c>
      <c r="C58" s="2"/>
      <c r="D58" s="2"/>
      <c r="E58" s="2"/>
      <c r="F58" s="2"/>
      <c r="G58" s="2"/>
      <c r="H58" s="2"/>
      <c r="I58" s="2"/>
      <c r="J58" s="2"/>
      <c r="K58" s="2"/>
      <c r="L58" s="2"/>
      <c r="M58" s="2"/>
    </row>
    <row r="59" spans="1:13">
      <c r="A59" s="3"/>
      <c r="B59" s="2">
        <v>56</v>
      </c>
      <c r="C59" s="2"/>
      <c r="D59" s="2"/>
      <c r="E59" s="2"/>
      <c r="F59" s="2"/>
      <c r="G59" s="2"/>
      <c r="H59" s="2"/>
      <c r="I59" s="2"/>
      <c r="J59" s="2"/>
      <c r="K59" s="2"/>
      <c r="L59" s="2"/>
      <c r="M59" s="2"/>
    </row>
    <row r="60" spans="1:13">
      <c r="A60" s="3"/>
      <c r="B60" s="2">
        <v>57</v>
      </c>
      <c r="C60" s="2"/>
      <c r="D60" s="2"/>
      <c r="E60" s="2"/>
      <c r="F60" s="2"/>
      <c r="G60" s="2"/>
      <c r="H60" s="2"/>
      <c r="I60" s="2"/>
      <c r="J60" s="2"/>
      <c r="K60" s="2"/>
      <c r="L60" s="2"/>
      <c r="M60" s="2"/>
    </row>
    <row r="61" spans="1:13">
      <c r="A61" s="3"/>
      <c r="B61" s="2">
        <v>58</v>
      </c>
      <c r="C61" s="2"/>
      <c r="D61" s="2"/>
      <c r="E61" s="2"/>
      <c r="F61" s="2"/>
      <c r="G61" s="2"/>
      <c r="H61" s="2"/>
      <c r="I61" s="2"/>
      <c r="J61" s="2"/>
      <c r="K61" s="2"/>
      <c r="L61" s="2"/>
      <c r="M61" s="2"/>
    </row>
    <row r="62" spans="1:13">
      <c r="A62" s="3"/>
      <c r="B62" s="2">
        <v>59</v>
      </c>
      <c r="C62" s="2"/>
      <c r="D62" s="2"/>
      <c r="E62" s="2"/>
      <c r="F62" s="2"/>
      <c r="G62" s="2"/>
      <c r="H62" s="2"/>
      <c r="I62" s="2"/>
      <c r="J62" s="2"/>
      <c r="K62" s="2"/>
      <c r="L62" s="2"/>
      <c r="M62" s="2"/>
    </row>
    <row r="63" spans="1:13">
      <c r="A63" s="3"/>
      <c r="B63" s="2">
        <v>60</v>
      </c>
      <c r="C63" s="2"/>
      <c r="D63" s="2"/>
      <c r="E63" s="2"/>
      <c r="F63" s="2"/>
      <c r="G63" s="2"/>
      <c r="H63" s="2"/>
      <c r="I63" s="2"/>
      <c r="J63" s="2"/>
      <c r="K63" s="2"/>
      <c r="L63" s="2"/>
      <c r="M63" s="2"/>
    </row>
    <row r="64" spans="1:13">
      <c r="A64" s="3"/>
      <c r="B64" s="2">
        <v>61</v>
      </c>
      <c r="C64" s="2"/>
      <c r="D64" s="2"/>
      <c r="E64" s="2"/>
      <c r="F64" s="2"/>
      <c r="G64" s="2"/>
      <c r="H64" s="2"/>
      <c r="I64" s="2"/>
      <c r="J64" s="2"/>
      <c r="K64" s="2"/>
      <c r="L64" s="2"/>
      <c r="M64" s="2"/>
    </row>
    <row r="65" spans="1:13">
      <c r="A65" s="3"/>
      <c r="B65" s="2">
        <v>62</v>
      </c>
      <c r="C65" s="2"/>
      <c r="D65" s="2"/>
      <c r="E65" s="2"/>
      <c r="F65" s="2"/>
      <c r="G65" s="2"/>
      <c r="H65" s="2"/>
      <c r="I65" s="2"/>
      <c r="J65" s="2"/>
      <c r="K65" s="2"/>
      <c r="L65" s="2"/>
      <c r="M65" s="2"/>
    </row>
    <row r="66" spans="1:13">
      <c r="A66" s="3"/>
      <c r="B66" s="2">
        <v>63</v>
      </c>
      <c r="C66" s="2"/>
      <c r="D66" s="2"/>
      <c r="E66" s="2"/>
      <c r="F66" s="2"/>
      <c r="G66" s="2"/>
      <c r="H66" s="2"/>
      <c r="I66" s="2"/>
      <c r="J66" s="2"/>
      <c r="K66" s="2"/>
      <c r="L66" s="2"/>
      <c r="M66" s="2"/>
    </row>
    <row r="67" spans="1:13">
      <c r="A67" s="3"/>
      <c r="B67" s="2">
        <v>64</v>
      </c>
      <c r="C67" s="2"/>
      <c r="D67" s="2"/>
      <c r="E67" s="2"/>
      <c r="F67" s="2"/>
      <c r="G67" s="2"/>
      <c r="H67" s="2"/>
      <c r="I67" s="2"/>
      <c r="J67" s="2"/>
      <c r="K67" s="2"/>
      <c r="L67" s="2"/>
      <c r="M67" s="2"/>
    </row>
    <row r="68" spans="1:13">
      <c r="A68" s="3"/>
      <c r="B68" s="2">
        <v>65</v>
      </c>
      <c r="C68" s="2"/>
      <c r="D68" s="2"/>
      <c r="E68" s="2"/>
      <c r="F68" s="2"/>
      <c r="G68" s="2"/>
      <c r="H68" s="2"/>
      <c r="I68" s="2"/>
      <c r="J68" s="2"/>
      <c r="K68" s="2"/>
      <c r="L68" s="2"/>
      <c r="M68" s="2"/>
    </row>
    <row r="69" spans="1:13">
      <c r="A69" s="3"/>
      <c r="B69" s="2">
        <v>66</v>
      </c>
      <c r="C69" s="2"/>
      <c r="D69" s="2"/>
      <c r="E69" s="2"/>
      <c r="F69" s="2"/>
      <c r="G69" s="2"/>
      <c r="H69" s="2"/>
      <c r="I69" s="2"/>
      <c r="J69" s="2"/>
      <c r="K69" s="2"/>
      <c r="L69" s="2"/>
      <c r="M69" s="2"/>
    </row>
    <row r="70" spans="1:13">
      <c r="A70" s="3"/>
      <c r="B70" s="2">
        <v>67</v>
      </c>
      <c r="C70" s="2"/>
      <c r="D70" s="2"/>
      <c r="E70" s="2"/>
      <c r="F70" s="2"/>
      <c r="G70" s="2"/>
      <c r="H70" s="2"/>
      <c r="I70" s="2"/>
      <c r="J70" s="2"/>
      <c r="K70" s="2"/>
      <c r="L70" s="2"/>
      <c r="M70" s="2"/>
    </row>
    <row r="71" spans="1:13">
      <c r="A71" s="3"/>
      <c r="B71" s="2">
        <v>68</v>
      </c>
      <c r="C71" s="2"/>
      <c r="D71" s="2"/>
      <c r="E71" s="2"/>
      <c r="F71" s="2"/>
      <c r="G71" s="2"/>
      <c r="H71" s="2"/>
      <c r="I71" s="2"/>
      <c r="J71" s="2"/>
      <c r="K71" s="2"/>
      <c r="L71" s="2"/>
      <c r="M71" s="2"/>
    </row>
    <row r="72" spans="1:13">
      <c r="A72" s="3"/>
      <c r="B72" s="2">
        <v>69</v>
      </c>
      <c r="C72" s="2"/>
      <c r="D72" s="2"/>
      <c r="E72" s="2"/>
      <c r="F72" s="2"/>
      <c r="G72" s="2"/>
      <c r="H72" s="2"/>
      <c r="I72" s="2"/>
      <c r="J72" s="2"/>
      <c r="K72" s="2"/>
      <c r="L72" s="2"/>
      <c r="M72" s="2"/>
    </row>
    <row r="73" spans="1:13">
      <c r="A73" s="3"/>
      <c r="B73" s="2">
        <v>70</v>
      </c>
      <c r="C73" s="2"/>
      <c r="D73" s="2"/>
      <c r="E73" s="2"/>
      <c r="F73" s="2"/>
      <c r="G73" s="2"/>
      <c r="H73" s="2"/>
      <c r="I73" s="2"/>
      <c r="J73" s="2"/>
      <c r="K73" s="2"/>
      <c r="L73" s="2"/>
      <c r="M73" s="2"/>
    </row>
    <row r="74" spans="1:13">
      <c r="A74" s="3"/>
      <c r="B74" s="2">
        <v>71</v>
      </c>
      <c r="C74" s="2"/>
      <c r="D74" s="2"/>
      <c r="E74" s="2"/>
      <c r="F74" s="2"/>
      <c r="G74" s="2"/>
      <c r="H74" s="2"/>
      <c r="I74" s="2"/>
      <c r="J74" s="2"/>
      <c r="K74" s="2"/>
      <c r="L74" s="2"/>
      <c r="M74" s="2"/>
    </row>
    <row r="75" spans="1:13">
      <c r="A75" s="3"/>
      <c r="B75" s="2">
        <v>72</v>
      </c>
      <c r="C75" s="2"/>
      <c r="D75" s="2"/>
      <c r="E75" s="2"/>
      <c r="F75" s="2"/>
      <c r="G75" s="2"/>
      <c r="H75" s="2"/>
      <c r="I75" s="2"/>
      <c r="J75" s="2"/>
      <c r="K75" s="2"/>
      <c r="L75" s="2"/>
      <c r="M75" s="2"/>
    </row>
    <row r="76" spans="1:13">
      <c r="A76" s="3"/>
      <c r="B76" s="2">
        <v>73</v>
      </c>
      <c r="C76" s="2"/>
      <c r="D76" s="2"/>
      <c r="E76" s="2"/>
      <c r="F76" s="2"/>
      <c r="G76" s="2"/>
      <c r="H76" s="2"/>
      <c r="I76" s="2"/>
      <c r="J76" s="2"/>
      <c r="K76" s="2"/>
      <c r="L76" s="2"/>
      <c r="M76" s="2"/>
    </row>
    <row r="77" spans="1:13">
      <c r="A77" s="3"/>
      <c r="B77" s="2">
        <v>74</v>
      </c>
      <c r="C77" s="2"/>
      <c r="D77" s="2"/>
      <c r="E77" s="2"/>
      <c r="F77" s="2"/>
      <c r="G77" s="2"/>
      <c r="H77" s="2"/>
      <c r="I77" s="2"/>
      <c r="J77" s="2"/>
      <c r="K77" s="2"/>
      <c r="L77" s="2"/>
      <c r="M77" s="2"/>
    </row>
    <row r="78" spans="1:13">
      <c r="A78" s="3"/>
      <c r="B78" s="2">
        <v>75</v>
      </c>
      <c r="C78" s="2"/>
      <c r="D78" s="2"/>
      <c r="E78" s="2"/>
      <c r="F78" s="2"/>
      <c r="G78" s="2"/>
      <c r="H78" s="2"/>
      <c r="I78" s="2"/>
      <c r="J78" s="2"/>
      <c r="K78" s="2"/>
      <c r="L78" s="2"/>
      <c r="M78" s="2"/>
    </row>
    <row r="79" spans="1:13">
      <c r="A79" s="3"/>
      <c r="B79" s="2">
        <v>76</v>
      </c>
      <c r="C79" s="2"/>
      <c r="D79" s="2"/>
      <c r="E79" s="2"/>
      <c r="F79" s="2"/>
      <c r="G79" s="2"/>
      <c r="H79" s="2"/>
      <c r="I79" s="2"/>
      <c r="J79" s="2"/>
      <c r="K79" s="2"/>
      <c r="L79" s="2"/>
      <c r="M79" s="2"/>
    </row>
    <row r="80" spans="1:13">
      <c r="A80" s="3"/>
      <c r="B80" s="2">
        <v>77</v>
      </c>
      <c r="C80" s="2"/>
      <c r="D80" s="2"/>
      <c r="E80" s="2"/>
      <c r="F80" s="2"/>
      <c r="G80" s="2"/>
      <c r="H80" s="2"/>
      <c r="I80" s="2"/>
      <c r="J80" s="2"/>
      <c r="K80" s="2"/>
      <c r="L80" s="2"/>
      <c r="M80" s="2"/>
    </row>
    <row r="81" spans="1:13">
      <c r="A81" s="3"/>
      <c r="B81" s="2">
        <v>78</v>
      </c>
      <c r="C81" s="2"/>
      <c r="D81" s="2"/>
      <c r="E81" s="2"/>
      <c r="F81" s="2"/>
      <c r="G81" s="2"/>
      <c r="H81" s="2"/>
      <c r="I81" s="2"/>
      <c r="J81" s="2"/>
      <c r="K81" s="2"/>
      <c r="L81" s="2"/>
      <c r="M81" s="2"/>
    </row>
    <row r="82" spans="1:13">
      <c r="A82" s="3"/>
      <c r="B82" s="2">
        <v>79</v>
      </c>
      <c r="C82" s="2"/>
      <c r="D82" s="2"/>
      <c r="E82" s="2"/>
      <c r="F82" s="2"/>
      <c r="G82" s="2"/>
      <c r="H82" s="2"/>
      <c r="I82" s="2"/>
      <c r="J82" s="2"/>
      <c r="K82" s="2"/>
      <c r="L82" s="2"/>
      <c r="M82" s="2"/>
    </row>
    <row r="83" spans="1:13">
      <c r="A83" s="3"/>
      <c r="B83" s="2">
        <v>80</v>
      </c>
      <c r="C83" s="2"/>
      <c r="D83" s="2"/>
      <c r="E83" s="2"/>
      <c r="F83" s="2"/>
      <c r="G83" s="2"/>
      <c r="H83" s="2"/>
      <c r="I83" s="2"/>
      <c r="J83" s="2"/>
      <c r="K83" s="2"/>
      <c r="L83" s="2"/>
      <c r="M83" s="2"/>
    </row>
    <row r="84" spans="1:13">
      <c r="A84" s="3"/>
      <c r="B84" s="2">
        <v>81</v>
      </c>
      <c r="C84" s="2"/>
      <c r="D84" s="2"/>
      <c r="E84" s="2"/>
      <c r="F84" s="2"/>
      <c r="G84" s="2"/>
      <c r="H84" s="2"/>
      <c r="I84" s="2"/>
      <c r="J84" s="2"/>
      <c r="K84" s="2"/>
      <c r="L84" s="2"/>
      <c r="M84" s="2"/>
    </row>
    <row r="85" spans="1:13">
      <c r="A85" s="3"/>
      <c r="B85" s="2">
        <v>82</v>
      </c>
      <c r="C85" s="2"/>
      <c r="D85" s="2"/>
      <c r="E85" s="2"/>
      <c r="F85" s="2"/>
      <c r="G85" s="2"/>
      <c r="H85" s="2"/>
      <c r="I85" s="2"/>
      <c r="J85" s="2"/>
      <c r="K85" s="2"/>
      <c r="L85" s="2"/>
      <c r="M85" s="2"/>
    </row>
    <row r="86" spans="1:13">
      <c r="A86" s="3"/>
      <c r="B86" s="2">
        <v>83</v>
      </c>
      <c r="C86" s="2"/>
      <c r="D86" s="2"/>
      <c r="E86" s="2"/>
      <c r="F86" s="2"/>
      <c r="G86" s="2"/>
      <c r="H86" s="2"/>
      <c r="I86" s="2"/>
      <c r="J86" s="2"/>
      <c r="K86" s="2"/>
      <c r="L86" s="2"/>
      <c r="M86" s="2"/>
    </row>
    <row r="87" spans="1:13">
      <c r="A87" s="3"/>
      <c r="B87" s="2">
        <v>84</v>
      </c>
      <c r="C87" s="2"/>
      <c r="D87" s="2"/>
      <c r="E87" s="2"/>
      <c r="F87" s="2"/>
      <c r="G87" s="2"/>
      <c r="H87" s="2"/>
      <c r="I87" s="2"/>
      <c r="J87" s="2"/>
      <c r="K87" s="2"/>
      <c r="L87" s="2"/>
      <c r="M87" s="2"/>
    </row>
    <row r="88" spans="1:13">
      <c r="A88" s="3"/>
      <c r="B88" s="2">
        <v>85</v>
      </c>
      <c r="C88" s="2"/>
      <c r="D88" s="2"/>
      <c r="E88" s="2"/>
      <c r="F88" s="2"/>
      <c r="G88" s="2"/>
      <c r="H88" s="2"/>
      <c r="I88" s="2"/>
      <c r="J88" s="2"/>
      <c r="K88" s="2"/>
      <c r="L88" s="2"/>
      <c r="M88" s="2"/>
    </row>
    <row r="89" spans="1:13">
      <c r="A89" s="3"/>
      <c r="B89" s="2">
        <v>86</v>
      </c>
      <c r="C89" s="2"/>
      <c r="D89" s="2"/>
      <c r="E89" s="2"/>
      <c r="F89" s="2"/>
      <c r="G89" s="2"/>
      <c r="H89" s="2"/>
      <c r="I89" s="2"/>
      <c r="J89" s="2"/>
      <c r="K89" s="2"/>
      <c r="L89" s="2"/>
      <c r="M89" s="2"/>
    </row>
    <row r="90" spans="1:13">
      <c r="A90" s="3"/>
      <c r="B90" s="2">
        <v>87</v>
      </c>
      <c r="C90" s="2"/>
      <c r="D90" s="2"/>
      <c r="E90" s="2"/>
      <c r="F90" s="2"/>
      <c r="G90" s="2"/>
      <c r="H90" s="2"/>
      <c r="I90" s="2"/>
      <c r="J90" s="2"/>
      <c r="K90" s="2"/>
      <c r="L90" s="2"/>
      <c r="M90" s="2"/>
    </row>
    <row r="91" spans="1:13">
      <c r="A91" s="3"/>
      <c r="B91" s="2">
        <v>88</v>
      </c>
      <c r="C91" s="2"/>
      <c r="D91" s="2"/>
      <c r="E91" s="2"/>
      <c r="F91" s="2"/>
      <c r="G91" s="2"/>
      <c r="H91" s="2"/>
      <c r="I91" s="2"/>
      <c r="J91" s="2"/>
      <c r="K91" s="2"/>
      <c r="L91" s="2"/>
      <c r="M91" s="2"/>
    </row>
    <row r="92" spans="1:13">
      <c r="A92" s="3"/>
      <c r="B92" s="2">
        <v>89</v>
      </c>
      <c r="C92" s="2"/>
      <c r="D92" s="2"/>
      <c r="E92" s="2"/>
      <c r="F92" s="2"/>
      <c r="G92" s="2"/>
      <c r="H92" s="2"/>
      <c r="I92" s="2"/>
      <c r="J92" s="2"/>
      <c r="K92" s="2"/>
      <c r="L92" s="2"/>
      <c r="M92" s="2"/>
    </row>
    <row r="93" spans="1:13">
      <c r="A93" s="3"/>
      <c r="B93" s="2">
        <v>90</v>
      </c>
      <c r="C93" s="2"/>
      <c r="D93" s="2"/>
      <c r="E93" s="2"/>
      <c r="F93" s="2"/>
      <c r="G93" s="2"/>
      <c r="H93" s="2"/>
      <c r="I93" s="2"/>
      <c r="J93" s="2"/>
      <c r="K93" s="2"/>
      <c r="L93" s="2"/>
      <c r="M93" s="2"/>
    </row>
    <row r="94" spans="1:13">
      <c r="A94" s="3"/>
      <c r="B94" s="2">
        <v>91</v>
      </c>
      <c r="C94" s="2"/>
      <c r="D94" s="2"/>
      <c r="E94" s="2"/>
      <c r="F94" s="2"/>
      <c r="G94" s="2"/>
      <c r="H94" s="2"/>
      <c r="I94" s="2"/>
      <c r="J94" s="2"/>
      <c r="K94" s="2"/>
      <c r="L94" s="2"/>
      <c r="M94" s="2"/>
    </row>
    <row r="95" spans="1:13">
      <c r="A95" s="3"/>
      <c r="B95" s="2">
        <v>92</v>
      </c>
      <c r="C95" s="2"/>
      <c r="D95" s="2"/>
      <c r="E95" s="2"/>
      <c r="F95" s="2"/>
      <c r="G95" s="2"/>
      <c r="H95" s="2"/>
      <c r="I95" s="2"/>
      <c r="J95" s="2"/>
      <c r="K95" s="2"/>
      <c r="L95" s="2"/>
      <c r="M95" s="2"/>
    </row>
    <row r="96" spans="1:13">
      <c r="A96" s="3"/>
      <c r="B96" s="2">
        <v>93</v>
      </c>
      <c r="C96" s="2"/>
      <c r="D96" s="2"/>
      <c r="E96" s="2"/>
      <c r="F96" s="2"/>
      <c r="G96" s="2"/>
      <c r="H96" s="2"/>
      <c r="I96" s="2"/>
      <c r="J96" s="2"/>
      <c r="K96" s="2"/>
      <c r="L96" s="2"/>
      <c r="M96" s="2"/>
    </row>
    <row r="97" spans="1:13">
      <c r="A97" s="3"/>
      <c r="B97" s="2">
        <v>94</v>
      </c>
      <c r="C97" s="2"/>
      <c r="D97" s="2"/>
      <c r="E97" s="2"/>
      <c r="F97" s="2"/>
      <c r="G97" s="2"/>
      <c r="H97" s="2"/>
      <c r="I97" s="2"/>
      <c r="J97" s="2"/>
      <c r="K97" s="2"/>
      <c r="L97" s="2"/>
      <c r="M97" s="2"/>
    </row>
    <row r="98" spans="1:13">
      <c r="A98" s="3"/>
      <c r="B98" s="2">
        <v>95</v>
      </c>
      <c r="C98" s="2"/>
      <c r="D98" s="2"/>
      <c r="E98" s="2"/>
      <c r="F98" s="2"/>
      <c r="G98" s="2"/>
      <c r="H98" s="2"/>
      <c r="I98" s="2"/>
      <c r="J98" s="2"/>
      <c r="K98" s="2"/>
      <c r="L98" s="2"/>
      <c r="M98" s="2"/>
    </row>
    <row r="99" spans="1:13">
      <c r="A99" s="3"/>
      <c r="B99" s="2">
        <v>96</v>
      </c>
      <c r="C99" s="2"/>
      <c r="D99" s="2"/>
      <c r="E99" s="2"/>
      <c r="F99" s="2"/>
      <c r="G99" s="2"/>
      <c r="H99" s="2"/>
      <c r="I99" s="2"/>
      <c r="J99" s="2"/>
      <c r="K99" s="2"/>
      <c r="L99" s="2"/>
      <c r="M99" s="2"/>
    </row>
    <row r="100" spans="1:13">
      <c r="A100" s="3"/>
      <c r="B100" s="2">
        <v>97</v>
      </c>
      <c r="C100" s="2"/>
      <c r="D100" s="2"/>
      <c r="E100" s="2"/>
      <c r="F100" s="2"/>
      <c r="G100" s="2"/>
      <c r="H100" s="2"/>
      <c r="I100" s="2"/>
      <c r="J100" s="2"/>
      <c r="K100" s="2"/>
      <c r="L100" s="2"/>
      <c r="M100" s="2"/>
    </row>
    <row r="101" spans="1:13">
      <c r="A101" s="3"/>
      <c r="B101" s="2">
        <v>98</v>
      </c>
      <c r="C101" s="2"/>
      <c r="D101" s="2"/>
      <c r="E101" s="2"/>
      <c r="F101" s="2"/>
      <c r="G101" s="2"/>
      <c r="H101" s="2"/>
      <c r="I101" s="2"/>
      <c r="J101" s="2"/>
      <c r="K101" s="2"/>
      <c r="L101" s="2"/>
      <c r="M101" s="2"/>
    </row>
    <row r="102" spans="1:13">
      <c r="A102" s="3"/>
      <c r="B102" s="2">
        <v>99</v>
      </c>
      <c r="C102" s="2"/>
      <c r="D102" s="2"/>
      <c r="E102" s="2"/>
      <c r="F102" s="2"/>
      <c r="G102" s="2"/>
      <c r="H102" s="2"/>
      <c r="I102" s="2"/>
      <c r="J102" s="2"/>
      <c r="K102" s="2"/>
      <c r="L102" s="2"/>
      <c r="M102" s="2"/>
    </row>
    <row r="103" spans="1:13">
      <c r="A103" s="3"/>
      <c r="B103" s="2">
        <v>100</v>
      </c>
      <c r="C103" s="2"/>
      <c r="D103" s="2"/>
      <c r="E103" s="2"/>
      <c r="F103" s="2"/>
      <c r="G103" s="2"/>
      <c r="H103" s="2"/>
      <c r="I103" s="2"/>
      <c r="J103" s="2"/>
      <c r="K103" s="2"/>
      <c r="L103" s="2"/>
      <c r="M103" s="2"/>
    </row>
    <row r="104" spans="1:13">
      <c r="A104" s="3"/>
      <c r="B104" s="2">
        <v>101</v>
      </c>
      <c r="C104" s="2"/>
      <c r="D104" s="2"/>
      <c r="E104" s="2"/>
      <c r="F104" s="2"/>
      <c r="G104" s="2"/>
      <c r="H104" s="2"/>
      <c r="I104" s="2"/>
      <c r="J104" s="2"/>
      <c r="K104" s="2"/>
      <c r="L104" s="2"/>
      <c r="M104" s="2"/>
    </row>
    <row r="105" spans="1:13">
      <c r="A105" s="3"/>
      <c r="B105" s="2">
        <v>102</v>
      </c>
      <c r="C105" s="2"/>
      <c r="D105" s="2"/>
      <c r="E105" s="2"/>
      <c r="F105" s="2"/>
      <c r="G105" s="2"/>
      <c r="H105" s="2"/>
      <c r="I105" s="2"/>
      <c r="J105" s="2"/>
      <c r="K105" s="2"/>
      <c r="L105" s="2"/>
      <c r="M105" s="2"/>
    </row>
    <row r="106" spans="1:13">
      <c r="A106" s="3"/>
      <c r="B106" s="2">
        <v>103</v>
      </c>
      <c r="C106" s="2"/>
      <c r="D106" s="2"/>
      <c r="E106" s="2"/>
      <c r="F106" s="2"/>
      <c r="G106" s="2"/>
      <c r="H106" s="2"/>
      <c r="I106" s="2"/>
      <c r="J106" s="2"/>
      <c r="K106" s="2"/>
      <c r="L106" s="2"/>
      <c r="M106" s="2"/>
    </row>
    <row r="107" spans="1:13">
      <c r="A107" s="3"/>
      <c r="B107" s="2">
        <v>104</v>
      </c>
      <c r="C107" s="2"/>
      <c r="D107" s="2"/>
      <c r="E107" s="2"/>
      <c r="F107" s="2"/>
      <c r="G107" s="2"/>
      <c r="H107" s="2"/>
      <c r="I107" s="2"/>
      <c r="J107" s="2"/>
      <c r="K107" s="2"/>
      <c r="L107" s="2"/>
      <c r="M107" s="2"/>
    </row>
    <row r="108" spans="1:13">
      <c r="A108" s="3"/>
      <c r="B108" s="2">
        <v>105</v>
      </c>
      <c r="C108" s="2"/>
      <c r="D108" s="2"/>
      <c r="E108" s="2"/>
      <c r="F108" s="2"/>
      <c r="G108" s="2"/>
      <c r="H108" s="2"/>
      <c r="I108" s="2"/>
      <c r="J108" s="2"/>
      <c r="K108" s="2"/>
      <c r="L108" s="2"/>
      <c r="M108" s="2"/>
    </row>
    <row r="109" spans="1:13">
      <c r="A109" s="3"/>
      <c r="B109" s="2">
        <v>106</v>
      </c>
      <c r="C109" s="2"/>
      <c r="D109" s="2"/>
      <c r="E109" s="2"/>
      <c r="F109" s="2"/>
      <c r="G109" s="2"/>
      <c r="H109" s="2"/>
      <c r="I109" s="2"/>
      <c r="J109" s="2"/>
      <c r="K109" s="2"/>
      <c r="L109" s="2"/>
      <c r="M109" s="2"/>
    </row>
    <row r="110" spans="1:13">
      <c r="A110" s="3"/>
      <c r="B110" s="2">
        <v>107</v>
      </c>
      <c r="C110" s="2"/>
      <c r="D110" s="2"/>
      <c r="E110" s="2"/>
      <c r="F110" s="2"/>
      <c r="G110" s="2"/>
      <c r="H110" s="2"/>
      <c r="I110" s="2"/>
      <c r="J110" s="2"/>
      <c r="K110" s="2"/>
      <c r="L110" s="2"/>
      <c r="M110" s="2"/>
    </row>
    <row r="111" spans="1:13">
      <c r="A111" s="3"/>
      <c r="B111" s="2">
        <v>108</v>
      </c>
      <c r="C111" s="2"/>
      <c r="D111" s="2"/>
      <c r="E111" s="2"/>
      <c r="F111" s="2"/>
      <c r="G111" s="2"/>
      <c r="H111" s="2"/>
      <c r="I111" s="2"/>
      <c r="J111" s="2"/>
      <c r="K111" s="2"/>
      <c r="L111" s="2"/>
      <c r="M111" s="2"/>
    </row>
    <row r="112" spans="1:13">
      <c r="A112" s="3"/>
      <c r="B112" s="2">
        <v>109</v>
      </c>
      <c r="C112" s="2"/>
      <c r="D112" s="2"/>
      <c r="E112" s="2"/>
      <c r="F112" s="2"/>
      <c r="G112" s="2"/>
      <c r="H112" s="2"/>
      <c r="I112" s="2"/>
      <c r="J112" s="2"/>
      <c r="K112" s="2"/>
      <c r="L112" s="2"/>
      <c r="M112" s="2"/>
    </row>
    <row r="113" spans="1:13">
      <c r="A113" s="3"/>
      <c r="B113" s="2">
        <v>110</v>
      </c>
      <c r="C113" s="2"/>
      <c r="D113" s="2"/>
      <c r="E113" s="2"/>
      <c r="F113" s="2"/>
      <c r="G113" s="2"/>
      <c r="H113" s="2"/>
      <c r="I113" s="2"/>
      <c r="J113" s="2"/>
      <c r="K113" s="2"/>
      <c r="L113" s="2"/>
      <c r="M113" s="2"/>
    </row>
    <row r="114" spans="1:13">
      <c r="A114" s="3"/>
      <c r="B114" s="2">
        <v>111</v>
      </c>
      <c r="C114" s="2"/>
      <c r="D114" s="2"/>
      <c r="E114" s="2"/>
      <c r="F114" s="2"/>
      <c r="G114" s="2"/>
      <c r="H114" s="2"/>
      <c r="I114" s="2"/>
      <c r="J114" s="2"/>
      <c r="K114" s="2"/>
      <c r="L114" s="2"/>
      <c r="M114" s="2"/>
    </row>
    <row r="115" spans="1:13">
      <c r="A115" s="3"/>
      <c r="B115" s="2">
        <v>112</v>
      </c>
      <c r="C115" s="2"/>
      <c r="D115" s="2"/>
      <c r="E115" s="2"/>
      <c r="F115" s="2"/>
      <c r="G115" s="2"/>
      <c r="H115" s="2"/>
      <c r="I115" s="2"/>
      <c r="J115" s="2"/>
      <c r="K115" s="2"/>
      <c r="L115" s="2"/>
      <c r="M115" s="2"/>
    </row>
    <row r="116" spans="1:13">
      <c r="A116" s="3"/>
      <c r="B116" s="2">
        <v>113</v>
      </c>
      <c r="C116" s="2"/>
      <c r="D116" s="2"/>
      <c r="E116" s="2"/>
      <c r="F116" s="2"/>
      <c r="G116" s="2"/>
      <c r="H116" s="2"/>
      <c r="I116" s="2"/>
      <c r="J116" s="2"/>
      <c r="K116" s="2"/>
      <c r="L116" s="2"/>
      <c r="M116" s="2"/>
    </row>
    <row r="117" spans="1:13">
      <c r="A117" s="3"/>
      <c r="B117" s="2">
        <v>114</v>
      </c>
      <c r="C117" s="2"/>
      <c r="D117" s="2"/>
      <c r="E117" s="2"/>
      <c r="F117" s="2"/>
      <c r="G117" s="2"/>
      <c r="H117" s="2"/>
      <c r="I117" s="2"/>
      <c r="J117" s="2"/>
      <c r="K117" s="2"/>
      <c r="L117" s="2"/>
      <c r="M117" s="2"/>
    </row>
    <row r="118" spans="1:13">
      <c r="A118" s="3"/>
      <c r="B118" s="2">
        <v>115</v>
      </c>
      <c r="C118" s="2"/>
      <c r="D118" s="2"/>
      <c r="E118" s="2"/>
      <c r="F118" s="2"/>
      <c r="G118" s="2"/>
      <c r="H118" s="2"/>
      <c r="I118" s="2"/>
      <c r="J118" s="2"/>
      <c r="K118" s="2"/>
      <c r="L118" s="2"/>
      <c r="M118" s="2"/>
    </row>
    <row r="119" spans="1:13">
      <c r="A119" s="3"/>
      <c r="B119" s="2">
        <v>116</v>
      </c>
      <c r="C119" s="2"/>
      <c r="D119" s="2"/>
      <c r="E119" s="2"/>
      <c r="F119" s="2"/>
      <c r="G119" s="2"/>
      <c r="H119" s="2"/>
      <c r="I119" s="2"/>
      <c r="J119" s="2"/>
      <c r="K119" s="2"/>
      <c r="L119" s="2"/>
      <c r="M119" s="2"/>
    </row>
    <row r="120" spans="1:13">
      <c r="A120" s="3"/>
      <c r="B120" s="2">
        <v>117</v>
      </c>
      <c r="C120" s="2"/>
      <c r="D120" s="2"/>
      <c r="E120" s="2"/>
      <c r="F120" s="2"/>
      <c r="G120" s="2"/>
      <c r="H120" s="2"/>
      <c r="I120" s="2"/>
      <c r="J120" s="2"/>
      <c r="K120" s="2"/>
      <c r="L120" s="2"/>
      <c r="M120" s="2"/>
    </row>
    <row r="121" spans="1:13">
      <c r="A121" s="3"/>
      <c r="B121" s="2">
        <v>118</v>
      </c>
      <c r="C121" s="2"/>
      <c r="D121" s="2"/>
      <c r="E121" s="2"/>
      <c r="F121" s="2"/>
      <c r="G121" s="2"/>
      <c r="H121" s="2"/>
      <c r="I121" s="2"/>
      <c r="J121" s="2"/>
      <c r="K121" s="2"/>
      <c r="L121" s="2"/>
      <c r="M121" s="2"/>
    </row>
    <row r="122" spans="1:13">
      <c r="A122" s="3"/>
      <c r="B122" s="2">
        <v>119</v>
      </c>
      <c r="C122" s="2"/>
      <c r="D122" s="2"/>
      <c r="E122" s="2"/>
      <c r="F122" s="2"/>
      <c r="G122" s="2"/>
      <c r="H122" s="2"/>
      <c r="I122" s="2"/>
      <c r="J122" s="2"/>
      <c r="K122" s="2"/>
      <c r="L122" s="2"/>
      <c r="M122" s="2"/>
    </row>
    <row r="123" spans="1:13">
      <c r="A123" s="3"/>
      <c r="B123" s="2">
        <v>120</v>
      </c>
      <c r="C123" s="2"/>
      <c r="D123" s="2"/>
      <c r="E123" s="2"/>
      <c r="F123" s="2"/>
      <c r="G123" s="2"/>
      <c r="H123" s="2"/>
      <c r="I123" s="2"/>
      <c r="J123" s="2"/>
      <c r="K123" s="2"/>
      <c r="L123" s="2"/>
      <c r="M123" s="2"/>
    </row>
  </sheetData>
  <mergeCells count="1">
    <mergeCell ref="B1:C1"/>
  </mergeCells>
  <conditionalFormatting sqref="B4:M123">
    <cfRule type="expression" dxfId="8" priority="1">
      <formula>AND(B$3&lt;&gt;"-",LEN(B4)&gt;B$3)</formula>
    </cfRule>
    <cfRule type="expression" dxfId="7" priority="2">
      <formula>ISERROR(B$2)</formula>
    </cfRule>
    <cfRule type="expression" dxfId="6" priority="3">
      <formula>AND(B$3&lt;&gt;"-",LEN(B4)&gt;B$3)</formula>
    </cfRule>
    <cfRule type="expression" dxfId="5" priority="4">
      <formula>ISERROR(B$2)</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Feuil7">
    <tabColor theme="9" tint="0.39997558519241921"/>
  </sheetPr>
  <dimension ref="A1:I43"/>
  <sheetViews>
    <sheetView topLeftCell="A25" zoomScale="90" zoomScaleNormal="90" workbookViewId="0">
      <selection activeCell="I39" sqref="I39"/>
    </sheetView>
  </sheetViews>
  <sheetFormatPr baseColWidth="10" defaultRowHeight="15"/>
  <cols>
    <col min="1" max="1" width="20.28515625" bestFit="1" customWidth="1"/>
    <col min="2" max="2" width="20.7109375" customWidth="1"/>
    <col min="3" max="3" width="13.5703125" customWidth="1"/>
    <col min="4" max="4" width="18.7109375" customWidth="1"/>
    <col min="5" max="5" width="12.5703125" customWidth="1"/>
    <col min="6" max="6" width="14.28515625" bestFit="1" customWidth="1"/>
    <col min="7" max="7" width="15.85546875" bestFit="1" customWidth="1"/>
    <col min="9" max="9" width="61.85546875" customWidth="1"/>
  </cols>
  <sheetData>
    <row r="1" spans="1:9">
      <c r="A1" t="s">
        <v>6</v>
      </c>
      <c r="B1" t="s">
        <v>0</v>
      </c>
      <c r="C1" t="s">
        <v>4</v>
      </c>
      <c r="D1" t="s">
        <v>1</v>
      </c>
      <c r="E1" t="s">
        <v>2</v>
      </c>
      <c r="F1" t="s">
        <v>3</v>
      </c>
      <c r="G1" t="s">
        <v>268</v>
      </c>
      <c r="H1" t="s">
        <v>257</v>
      </c>
      <c r="I1" t="s">
        <v>269</v>
      </c>
    </row>
    <row r="2" spans="1:9">
      <c r="A2" s="10" t="str">
        <f>[Table Name]&amp;[Field Count]</f>
        <v>Phobida_MenuItem1</v>
      </c>
      <c r="B2" s="10" t="s">
        <v>285</v>
      </c>
      <c r="C2" s="10">
        <f>IF(B2=B1,C1+1,1)</f>
        <v>1</v>
      </c>
      <c r="D2" s="10" t="s">
        <v>291</v>
      </c>
      <c r="E2" s="10" t="s">
        <v>261</v>
      </c>
      <c r="F2" s="10">
        <v>4</v>
      </c>
      <c r="G2" s="10"/>
      <c r="H2" s="16" t="s">
        <v>332</v>
      </c>
      <c r="I2" s="10" t="s">
        <v>333</v>
      </c>
    </row>
    <row r="3" spans="1:9">
      <c r="A3" t="str">
        <f>[Table Name]&amp;[Field Count]</f>
        <v>Phobida_MenuItem2</v>
      </c>
      <c r="B3" t="s">
        <v>285</v>
      </c>
      <c r="C3" s="10">
        <f t="shared" ref="C3:C43" si="0">IF(B3=B2,C2+1,1)</f>
        <v>2</v>
      </c>
      <c r="D3" t="s">
        <v>293</v>
      </c>
      <c r="E3" t="s">
        <v>258</v>
      </c>
      <c r="F3">
        <v>80</v>
      </c>
      <c r="H3" s="19"/>
    </row>
    <row r="4" spans="1:9">
      <c r="A4" t="str">
        <f>[Table Name]&amp;[Field Count]</f>
        <v>Phobida_MenuItem3</v>
      </c>
      <c r="B4" t="s">
        <v>285</v>
      </c>
      <c r="C4" s="10">
        <f t="shared" si="0"/>
        <v>3</v>
      </c>
      <c r="D4" t="s">
        <v>294</v>
      </c>
      <c r="E4" t="s">
        <v>258</v>
      </c>
      <c r="F4">
        <v>100</v>
      </c>
      <c r="H4" s="19"/>
    </row>
    <row r="5" spans="1:9">
      <c r="A5" t="str">
        <f>[Table Name]&amp;[Field Count]</f>
        <v>Phobida_MenuItem4</v>
      </c>
      <c r="B5" t="s">
        <v>285</v>
      </c>
      <c r="C5" s="10">
        <f t="shared" si="0"/>
        <v>4</v>
      </c>
      <c r="D5" t="s">
        <v>295</v>
      </c>
      <c r="E5" t="s">
        <v>258</v>
      </c>
      <c r="F5">
        <v>80</v>
      </c>
      <c r="H5" s="19"/>
    </row>
    <row r="6" spans="1:9">
      <c r="A6" t="str">
        <f>[Table Name]&amp;[Field Count]</f>
        <v>Phobida_MenuItem5</v>
      </c>
      <c r="B6" t="s">
        <v>285</v>
      </c>
      <c r="C6" s="10">
        <f t="shared" si="0"/>
        <v>5</v>
      </c>
      <c r="D6" t="s">
        <v>296</v>
      </c>
      <c r="E6" t="s">
        <v>258</v>
      </c>
      <c r="F6">
        <v>80</v>
      </c>
      <c r="H6" s="19"/>
    </row>
    <row r="7" spans="1:9">
      <c r="A7" t="str">
        <f>[Table Name]&amp;[Field Count]</f>
        <v>Phobida_MenuItem6</v>
      </c>
      <c r="B7" t="s">
        <v>285</v>
      </c>
      <c r="C7" s="10">
        <f t="shared" si="0"/>
        <v>6</v>
      </c>
      <c r="D7" t="s">
        <v>297</v>
      </c>
      <c r="E7" t="s">
        <v>258</v>
      </c>
      <c r="F7">
        <v>80</v>
      </c>
      <c r="H7" s="19"/>
    </row>
    <row r="8" spans="1:9">
      <c r="A8" t="str">
        <f>[Table Name]&amp;[Field Count]</f>
        <v>Phobida_MenuItem7</v>
      </c>
      <c r="B8" t="s">
        <v>285</v>
      </c>
      <c r="C8" s="10">
        <f t="shared" si="0"/>
        <v>7</v>
      </c>
      <c r="D8" t="s">
        <v>298</v>
      </c>
      <c r="E8" t="s">
        <v>258</v>
      </c>
      <c r="F8">
        <v>20</v>
      </c>
      <c r="H8" s="19"/>
    </row>
    <row r="9" spans="1:9">
      <c r="A9" t="str">
        <f>[Table Name]&amp;[Field Count]</f>
        <v>Phobida_MenuItem8</v>
      </c>
      <c r="B9" t="s">
        <v>285</v>
      </c>
      <c r="C9" s="10">
        <f t="shared" si="0"/>
        <v>8</v>
      </c>
      <c r="D9" t="s">
        <v>299</v>
      </c>
      <c r="E9" t="s">
        <v>261</v>
      </c>
      <c r="F9">
        <v>4</v>
      </c>
      <c r="H9" s="19"/>
      <c r="I9" t="s">
        <v>711</v>
      </c>
    </row>
    <row r="10" spans="1:9">
      <c r="A10" t="str">
        <f>[Table Name]&amp;[Field Count]</f>
        <v>Phobida_MenuItem9</v>
      </c>
      <c r="B10" t="s">
        <v>285</v>
      </c>
      <c r="C10" s="10">
        <f t="shared" si="0"/>
        <v>9</v>
      </c>
      <c r="D10" t="s">
        <v>300</v>
      </c>
      <c r="E10" t="s">
        <v>264</v>
      </c>
      <c r="F10">
        <v>5</v>
      </c>
      <c r="G10">
        <v>2</v>
      </c>
      <c r="H10" s="19"/>
    </row>
    <row r="11" spans="1:9">
      <c r="A11" t="str">
        <f>[Table Name]&amp;[Field Count]</f>
        <v>Phobida_MenuRating1</v>
      </c>
      <c r="B11" t="s">
        <v>290</v>
      </c>
      <c r="C11" s="10">
        <f t="shared" si="0"/>
        <v>1</v>
      </c>
      <c r="D11" t="s">
        <v>301</v>
      </c>
      <c r="E11" t="s">
        <v>261</v>
      </c>
      <c r="F11">
        <v>4</v>
      </c>
      <c r="H11" s="19" t="s">
        <v>332</v>
      </c>
      <c r="I11" t="s">
        <v>333</v>
      </c>
    </row>
    <row r="12" spans="1:9">
      <c r="A12" t="str">
        <f>[Table Name]&amp;[Field Count]</f>
        <v>Phobida_MenuRating2</v>
      </c>
      <c r="B12" t="s">
        <v>290</v>
      </c>
      <c r="C12" s="10">
        <f t="shared" si="0"/>
        <v>2</v>
      </c>
      <c r="D12" t="s">
        <v>302</v>
      </c>
      <c r="E12" t="s">
        <v>258</v>
      </c>
      <c r="F12">
        <v>30</v>
      </c>
      <c r="H12" s="19"/>
    </row>
    <row r="13" spans="1:9">
      <c r="A13" t="str">
        <f>[Table Name]&amp;[Field Count]</f>
        <v>Phobida_MenuRating3</v>
      </c>
      <c r="B13" t="s">
        <v>290</v>
      </c>
      <c r="C13" s="10">
        <f t="shared" si="0"/>
        <v>3</v>
      </c>
      <c r="D13" t="s">
        <v>303</v>
      </c>
      <c r="E13" t="s">
        <v>258</v>
      </c>
      <c r="F13">
        <v>50</v>
      </c>
      <c r="H13" s="19"/>
    </row>
    <row r="14" spans="1:9">
      <c r="A14" t="str">
        <f>[Table Name]&amp;[Field Count]</f>
        <v>Phobida_MenuRating4</v>
      </c>
      <c r="B14" t="s">
        <v>290</v>
      </c>
      <c r="C14" s="10">
        <f t="shared" si="0"/>
        <v>4</v>
      </c>
      <c r="D14" t="s">
        <v>304</v>
      </c>
      <c r="E14" t="s">
        <v>258</v>
      </c>
      <c r="F14">
        <v>250</v>
      </c>
      <c r="H14" s="19"/>
    </row>
    <row r="15" spans="1:9">
      <c r="A15" t="str">
        <f>[Table Name]&amp;[Field Count]</f>
        <v>Phobida_MenuRating5</v>
      </c>
      <c r="B15" t="s">
        <v>290</v>
      </c>
      <c r="C15" s="10">
        <f t="shared" si="0"/>
        <v>5</v>
      </c>
      <c r="D15" t="s">
        <v>305</v>
      </c>
      <c r="E15" t="s">
        <v>260</v>
      </c>
      <c r="F15">
        <v>4</v>
      </c>
      <c r="H15" s="19"/>
      <c r="I15" t="s">
        <v>334</v>
      </c>
    </row>
    <row r="16" spans="1:9">
      <c r="A16" t="str">
        <f>[Table Name]&amp;[Field Count]</f>
        <v>Phobida_MenuRating6</v>
      </c>
      <c r="B16" t="s">
        <v>290</v>
      </c>
      <c r="C16" s="10">
        <f t="shared" si="0"/>
        <v>6</v>
      </c>
      <c r="D16" t="s">
        <v>306</v>
      </c>
      <c r="E16" t="s">
        <v>258</v>
      </c>
      <c r="F16">
        <v>3</v>
      </c>
      <c r="H16" s="19"/>
    </row>
    <row r="17" spans="1:9">
      <c r="A17" t="str">
        <f>[Table Name]&amp;[Field Count]</f>
        <v>Phobida_MenuCate1</v>
      </c>
      <c r="B17" t="s">
        <v>286</v>
      </c>
      <c r="C17" s="10">
        <f t="shared" si="0"/>
        <v>1</v>
      </c>
      <c r="D17" t="s">
        <v>307</v>
      </c>
      <c r="E17" t="s">
        <v>260</v>
      </c>
      <c r="F17">
        <v>4</v>
      </c>
      <c r="H17" s="19" t="s">
        <v>332</v>
      </c>
      <c r="I17" t="s">
        <v>333</v>
      </c>
    </row>
    <row r="18" spans="1:9">
      <c r="A18" t="str">
        <f>[Table Name]&amp;[Field Count]</f>
        <v>Phobida_MenuCate2</v>
      </c>
      <c r="B18" t="s">
        <v>286</v>
      </c>
      <c r="C18" s="10">
        <f t="shared" si="0"/>
        <v>2</v>
      </c>
      <c r="D18" t="s">
        <v>308</v>
      </c>
      <c r="E18" t="s">
        <v>258</v>
      </c>
      <c r="F18">
        <v>50</v>
      </c>
      <c r="H18" s="19"/>
    </row>
    <row r="19" spans="1:9">
      <c r="A19" t="str">
        <f>[Table Name]&amp;[Field Count]</f>
        <v>Phobida_MenuCate3</v>
      </c>
      <c r="B19" t="s">
        <v>286</v>
      </c>
      <c r="C19" s="10">
        <f t="shared" si="0"/>
        <v>3</v>
      </c>
      <c r="D19" t="s">
        <v>309</v>
      </c>
      <c r="E19" t="s">
        <v>258</v>
      </c>
      <c r="F19">
        <v>50</v>
      </c>
      <c r="H19" s="19"/>
    </row>
    <row r="20" spans="1:9">
      <c r="A20" t="str">
        <f>[Table Name]&amp;[Field Count]</f>
        <v>Phobida_MenuCate4</v>
      </c>
      <c r="B20" t="s">
        <v>286</v>
      </c>
      <c r="C20" s="10">
        <f t="shared" si="0"/>
        <v>4</v>
      </c>
      <c r="D20" t="s">
        <v>310</v>
      </c>
      <c r="E20" t="s">
        <v>258</v>
      </c>
      <c r="F20">
        <v>50</v>
      </c>
      <c r="H20" s="19"/>
    </row>
    <row r="21" spans="1:9">
      <c r="A21" t="str">
        <f>[Table Name]&amp;[Field Count]</f>
        <v>Phobida_MenuCate5</v>
      </c>
      <c r="B21" t="s">
        <v>286</v>
      </c>
      <c r="C21" s="10">
        <f t="shared" si="0"/>
        <v>5</v>
      </c>
      <c r="D21" t="s">
        <v>311</v>
      </c>
      <c r="E21" t="s">
        <v>258</v>
      </c>
      <c r="F21">
        <v>50</v>
      </c>
      <c r="H21" s="19"/>
    </row>
    <row r="22" spans="1:9">
      <c r="A22" t="str">
        <f>[Table Name]&amp;[Field Count]</f>
        <v>Phobida_MenuCate6</v>
      </c>
      <c r="B22" t="s">
        <v>286</v>
      </c>
      <c r="C22" s="10">
        <f t="shared" si="0"/>
        <v>6</v>
      </c>
      <c r="D22" t="s">
        <v>312</v>
      </c>
      <c r="E22" t="s">
        <v>258</v>
      </c>
      <c r="F22">
        <v>50</v>
      </c>
      <c r="H22" s="19"/>
    </row>
    <row r="23" spans="1:9">
      <c r="A23" t="str">
        <f>[Table Name]&amp;[Field Count]</f>
        <v>Phobida_MenuCate7</v>
      </c>
      <c r="B23" t="s">
        <v>286</v>
      </c>
      <c r="C23" s="10">
        <f t="shared" si="0"/>
        <v>7</v>
      </c>
      <c r="D23" t="s">
        <v>298</v>
      </c>
      <c r="E23" t="s">
        <v>258</v>
      </c>
      <c r="F23">
        <v>50</v>
      </c>
      <c r="H23" s="19"/>
    </row>
    <row r="24" spans="1:9">
      <c r="A24" t="str">
        <f>[Table Name]&amp;[Field Count]</f>
        <v>Phobida_MenuCate8</v>
      </c>
      <c r="B24" t="s">
        <v>286</v>
      </c>
      <c r="C24" s="10">
        <f t="shared" si="0"/>
        <v>8</v>
      </c>
      <c r="D24" t="s">
        <v>313</v>
      </c>
      <c r="E24" t="s">
        <v>261</v>
      </c>
      <c r="F24">
        <v>4</v>
      </c>
      <c r="H24" s="19"/>
      <c r="I24" t="s">
        <v>711</v>
      </c>
    </row>
    <row r="25" spans="1:9">
      <c r="A25" t="str">
        <f>[Table Name]&amp;[Field Count]</f>
        <v>Phobida_MenuCate9</v>
      </c>
      <c r="B25" t="s">
        <v>286</v>
      </c>
      <c r="C25" s="10">
        <f t="shared" si="0"/>
        <v>9</v>
      </c>
      <c r="D25" t="s">
        <v>314</v>
      </c>
      <c r="E25" t="s">
        <v>258</v>
      </c>
      <c r="F25">
        <v>3</v>
      </c>
      <c r="H25" s="19"/>
    </row>
    <row r="26" spans="1:9">
      <c r="A26" t="str">
        <f>[Table Name]&amp;[Field Count]</f>
        <v>Phobida_MenuCateItem1</v>
      </c>
      <c r="B26" t="s">
        <v>287</v>
      </c>
      <c r="C26" s="10">
        <f t="shared" si="0"/>
        <v>1</v>
      </c>
      <c r="D26" t="s">
        <v>315</v>
      </c>
      <c r="E26" t="s">
        <v>261</v>
      </c>
      <c r="F26">
        <v>4</v>
      </c>
      <c r="H26" s="19" t="s">
        <v>332</v>
      </c>
      <c r="I26" t="s">
        <v>333</v>
      </c>
    </row>
    <row r="27" spans="1:9">
      <c r="A27" t="str">
        <f>[Table Name]&amp;[Field Count]</f>
        <v>Phobida_MenuCateItem2</v>
      </c>
      <c r="B27" t="s">
        <v>287</v>
      </c>
      <c r="C27" s="10">
        <f t="shared" si="0"/>
        <v>2</v>
      </c>
      <c r="D27" t="s">
        <v>316</v>
      </c>
      <c r="E27" t="s">
        <v>260</v>
      </c>
      <c r="F27">
        <v>4</v>
      </c>
      <c r="H27" s="19"/>
      <c r="I27" t="s">
        <v>334</v>
      </c>
    </row>
    <row r="28" spans="1:9">
      <c r="A28" t="str">
        <f>[Table Name]&amp;[Field Count]</f>
        <v>Phobida_MenuCateItem3</v>
      </c>
      <c r="B28" t="s">
        <v>287</v>
      </c>
      <c r="C28" s="10">
        <f t="shared" si="0"/>
        <v>3</v>
      </c>
      <c r="D28" t="s">
        <v>317</v>
      </c>
      <c r="E28" t="s">
        <v>261</v>
      </c>
      <c r="F28">
        <v>4</v>
      </c>
      <c r="H28" s="19"/>
      <c r="I28" t="s">
        <v>334</v>
      </c>
    </row>
    <row r="29" spans="1:9">
      <c r="A29" t="str">
        <f>[Table Name]&amp;[Field Count]</f>
        <v>Phobida_UserAccount1</v>
      </c>
      <c r="B29" t="s">
        <v>289</v>
      </c>
      <c r="C29" s="10">
        <f t="shared" si="0"/>
        <v>1</v>
      </c>
      <c r="D29" t="s">
        <v>318</v>
      </c>
      <c r="E29" t="s">
        <v>261</v>
      </c>
      <c r="F29">
        <v>4</v>
      </c>
      <c r="H29" s="19" t="s">
        <v>332</v>
      </c>
      <c r="I29" t="s">
        <v>333</v>
      </c>
    </row>
    <row r="30" spans="1:9">
      <c r="A30" t="str">
        <f>[Table Name]&amp;[Field Count]</f>
        <v>Phobida_UserAccount2</v>
      </c>
      <c r="B30" t="s">
        <v>289</v>
      </c>
      <c r="C30" s="10">
        <f t="shared" si="0"/>
        <v>2</v>
      </c>
      <c r="D30" t="s">
        <v>319</v>
      </c>
      <c r="E30" t="s">
        <v>258</v>
      </c>
      <c r="F30">
        <v>16</v>
      </c>
      <c r="H30" s="19"/>
    </row>
    <row r="31" spans="1:9">
      <c r="A31" t="str">
        <f>[Table Name]&amp;[Field Count]</f>
        <v>Phobida_UserAccount3</v>
      </c>
      <c r="B31" t="s">
        <v>289</v>
      </c>
      <c r="C31" s="10">
        <f t="shared" si="0"/>
        <v>3</v>
      </c>
      <c r="D31" t="s">
        <v>320</v>
      </c>
      <c r="E31" t="s">
        <v>258</v>
      </c>
      <c r="F31">
        <v>128</v>
      </c>
      <c r="H31" s="19"/>
    </row>
    <row r="32" spans="1:9">
      <c r="A32" t="str">
        <f>[Table Name]&amp;[Field Count]</f>
        <v>Phobida_UserAccount4</v>
      </c>
      <c r="B32" t="s">
        <v>289</v>
      </c>
      <c r="C32" s="10">
        <f t="shared" si="0"/>
        <v>4</v>
      </c>
      <c r="D32" t="s">
        <v>321</v>
      </c>
      <c r="E32" t="s">
        <v>258</v>
      </c>
      <c r="F32">
        <v>25</v>
      </c>
      <c r="H32" s="19"/>
    </row>
    <row r="33" spans="1:9">
      <c r="A33" t="str">
        <f>[Table Name]&amp;[Field Count]</f>
        <v>Phobida_UserAccount5</v>
      </c>
      <c r="B33" t="s">
        <v>289</v>
      </c>
      <c r="C33" s="10">
        <f t="shared" si="0"/>
        <v>5</v>
      </c>
      <c r="D33" t="s">
        <v>322</v>
      </c>
      <c r="E33" t="s">
        <v>258</v>
      </c>
      <c r="F33">
        <v>25</v>
      </c>
      <c r="H33" s="19"/>
    </row>
    <row r="34" spans="1:9">
      <c r="A34" t="str">
        <f>[Table Name]&amp;[Field Count]</f>
        <v>Phobida_UserAccount6</v>
      </c>
      <c r="B34" t="s">
        <v>289</v>
      </c>
      <c r="C34" s="10">
        <f t="shared" si="0"/>
        <v>6</v>
      </c>
      <c r="D34" t="s">
        <v>303</v>
      </c>
      <c r="E34" t="s">
        <v>258</v>
      </c>
      <c r="F34">
        <v>100</v>
      </c>
      <c r="H34" s="19"/>
    </row>
    <row r="35" spans="1:9">
      <c r="A35" t="str">
        <f>[Table Name]&amp;[Field Count]</f>
        <v>Phobida_UserAccount7</v>
      </c>
      <c r="B35" t="s">
        <v>289</v>
      </c>
      <c r="C35" s="10">
        <f t="shared" si="0"/>
        <v>7</v>
      </c>
      <c r="D35" t="s">
        <v>323</v>
      </c>
      <c r="E35" t="s">
        <v>259</v>
      </c>
      <c r="H35" s="19"/>
    </row>
    <row r="36" spans="1:9">
      <c r="A36" t="str">
        <f>[Table Name]&amp;[Field Count]</f>
        <v>Phobida_Photo1</v>
      </c>
      <c r="B36" t="s">
        <v>288</v>
      </c>
      <c r="C36" s="10">
        <f t="shared" si="0"/>
        <v>1</v>
      </c>
      <c r="D36" t="s">
        <v>324</v>
      </c>
      <c r="E36" t="s">
        <v>261</v>
      </c>
      <c r="F36">
        <v>4</v>
      </c>
      <c r="H36" s="19" t="s">
        <v>332</v>
      </c>
      <c r="I36" t="s">
        <v>333</v>
      </c>
    </row>
    <row r="37" spans="1:9">
      <c r="A37" t="str">
        <f>[Table Name]&amp;[Field Count]</f>
        <v>Phobida_Photo2</v>
      </c>
      <c r="B37" t="s">
        <v>288</v>
      </c>
      <c r="C37" s="10">
        <f t="shared" si="0"/>
        <v>2</v>
      </c>
      <c r="D37" t="s">
        <v>325</v>
      </c>
      <c r="E37" t="s">
        <v>258</v>
      </c>
      <c r="F37">
        <v>20</v>
      </c>
      <c r="H37" s="19"/>
    </row>
    <row r="38" spans="1:9">
      <c r="A38" t="str">
        <f>[Table Name]&amp;[Field Count]</f>
        <v>Phobida_Photo3</v>
      </c>
      <c r="B38" t="s">
        <v>288</v>
      </c>
      <c r="C38" s="10">
        <f t="shared" si="0"/>
        <v>3</v>
      </c>
      <c r="D38" t="s">
        <v>326</v>
      </c>
      <c r="E38" t="s">
        <v>258</v>
      </c>
      <c r="F38">
        <v>40</v>
      </c>
      <c r="H38" s="19"/>
    </row>
    <row r="39" spans="1:9">
      <c r="A39" t="str">
        <f>[Table Name]&amp;[Field Count]</f>
        <v>Phobida_Photo4</v>
      </c>
      <c r="B39" t="s">
        <v>288</v>
      </c>
      <c r="C39" s="10">
        <f t="shared" si="0"/>
        <v>4</v>
      </c>
      <c r="D39" t="s">
        <v>327</v>
      </c>
      <c r="E39" t="s">
        <v>261</v>
      </c>
      <c r="F39">
        <v>4</v>
      </c>
      <c r="H39" s="19"/>
      <c r="I39" t="s">
        <v>711</v>
      </c>
    </row>
    <row r="40" spans="1:9">
      <c r="A40" t="str">
        <f>[Table Name]&amp;[Field Count]</f>
        <v>Phobida_Photo5</v>
      </c>
      <c r="B40" t="s">
        <v>288</v>
      </c>
      <c r="C40" s="10">
        <f t="shared" si="0"/>
        <v>5</v>
      </c>
      <c r="D40" t="s">
        <v>328</v>
      </c>
      <c r="E40" t="s">
        <v>258</v>
      </c>
      <c r="F40">
        <v>150</v>
      </c>
      <c r="H40" s="19"/>
    </row>
    <row r="41" spans="1:9">
      <c r="A41" t="str">
        <f>[Table Name]&amp;[Field Count]</f>
        <v>Phobida_Photo6</v>
      </c>
      <c r="B41" t="s">
        <v>288</v>
      </c>
      <c r="C41" s="10">
        <f t="shared" si="0"/>
        <v>6</v>
      </c>
      <c r="D41" t="s">
        <v>329</v>
      </c>
      <c r="E41" t="s">
        <v>258</v>
      </c>
      <c r="F41">
        <v>150</v>
      </c>
      <c r="H41" s="19"/>
    </row>
    <row r="42" spans="1:9">
      <c r="A42" t="str">
        <f>[Table Name]&amp;[Field Count]</f>
        <v>Phobida_Photo7</v>
      </c>
      <c r="B42" t="s">
        <v>288</v>
      </c>
      <c r="C42" s="10">
        <f t="shared" si="0"/>
        <v>7</v>
      </c>
      <c r="D42" t="s">
        <v>330</v>
      </c>
      <c r="E42" t="s">
        <v>258</v>
      </c>
      <c r="F42">
        <v>150</v>
      </c>
      <c r="H42" s="19"/>
    </row>
    <row r="43" spans="1:9">
      <c r="A43" t="str">
        <f>[Table Name]&amp;[Field Count]</f>
        <v>Phobida_Photo8</v>
      </c>
      <c r="B43" t="s">
        <v>288</v>
      </c>
      <c r="C43" s="10">
        <f t="shared" si="0"/>
        <v>8</v>
      </c>
      <c r="D43" t="s">
        <v>331</v>
      </c>
      <c r="E43" t="s">
        <v>258</v>
      </c>
      <c r="F43">
        <v>150</v>
      </c>
      <c r="H43" s="19"/>
    </row>
  </sheetData>
  <dataValidations count="4">
    <dataValidation type="list" errorStyle="information" allowBlank="1" showInputMessage="1" showErrorMessage="1" error="Define the table first" sqref="B2:B43">
      <formula1>List_SqlTables</formula1>
    </dataValidation>
    <dataValidation type="whole" operator="greaterThanOrEqual" allowBlank="1" showInputMessage="1" showErrorMessage="1" error="Integer only" sqref="C2:C43">
      <formula1>0</formula1>
    </dataValidation>
    <dataValidation type="list" errorStyle="information" allowBlank="1" showInputMessage="1" showErrorMessage="1" sqref="E2:E43">
      <formula1>List_SqlFieldTypes</formula1>
    </dataValidation>
    <dataValidation type="list" allowBlank="1" showInputMessage="1" showErrorMessage="1" sqref="H2:H43">
      <formula1>"X"</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sheetPr codeName="Feuil8">
    <tabColor theme="9" tint="0.39997558519241921"/>
  </sheetPr>
  <dimension ref="A1:B7"/>
  <sheetViews>
    <sheetView workbookViewId="0"/>
  </sheetViews>
  <sheetFormatPr baseColWidth="10" defaultRowHeight="15"/>
  <cols>
    <col min="1" max="1" width="15.28515625" bestFit="1" customWidth="1"/>
    <col min="2" max="2" width="38.5703125" customWidth="1"/>
  </cols>
  <sheetData>
    <row r="1" spans="1:2">
      <c r="A1" s="15" t="s">
        <v>0</v>
      </c>
      <c r="B1" s="15" t="s">
        <v>8</v>
      </c>
    </row>
    <row r="2" spans="1:2">
      <c r="A2" s="10" t="s">
        <v>285</v>
      </c>
      <c r="B2" s="10"/>
    </row>
    <row r="3" spans="1:2">
      <c r="A3" s="10" t="s">
        <v>286</v>
      </c>
      <c r="B3" s="10"/>
    </row>
    <row r="4" spans="1:2">
      <c r="A4" s="10" t="s">
        <v>287</v>
      </c>
      <c r="B4" s="10"/>
    </row>
    <row r="5" spans="1:2">
      <c r="A5" s="10" t="s">
        <v>288</v>
      </c>
      <c r="B5" s="10"/>
    </row>
    <row r="6" spans="1:2">
      <c r="A6" s="10" t="s">
        <v>289</v>
      </c>
      <c r="B6" s="10"/>
    </row>
    <row r="7" spans="1:2">
      <c r="A7" s="10" t="s">
        <v>290</v>
      </c>
      <c r="B7" s="10"/>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sheetPr codeName="Feuil9">
    <tabColor theme="9" tint="0.59999389629810485"/>
  </sheetPr>
  <dimension ref="A1:L122"/>
  <sheetViews>
    <sheetView tabSelected="1" workbookViewId="0">
      <pane ySplit="2" topLeftCell="A3" activePane="bottomLeft" state="frozen"/>
      <selection activeCell="D6" sqref="D6"/>
      <selection pane="bottomLeft" activeCell="F3" sqref="F3:F4"/>
    </sheetView>
  </sheetViews>
  <sheetFormatPr baseColWidth="10" defaultRowHeight="15"/>
  <cols>
    <col min="1" max="1" width="16" customWidth="1"/>
    <col min="2" max="2" width="15.7109375" bestFit="1" customWidth="1"/>
    <col min="3" max="3" width="17.28515625" bestFit="1" customWidth="1"/>
    <col min="4" max="4" width="19.5703125" bestFit="1" customWidth="1"/>
  </cols>
  <sheetData>
    <row r="1" spans="1:12">
      <c r="A1" s="9" t="s">
        <v>14</v>
      </c>
      <c r="B1" s="8" t="str">
        <f t="array" ref="B1:L1">TRANSPOSE('SQL Tables Name'!$A$2:$A$7)</f>
        <v>Phobida_MenuItem</v>
      </c>
      <c r="C1" s="8" t="str">
        <v>Phobida_MenuCate</v>
      </c>
      <c r="D1" s="8" t="str">
        <v>Phobida_MenuCateItem</v>
      </c>
      <c r="E1" s="8" t="str">
        <v>Phobida_Photo</v>
      </c>
      <c r="F1" s="8" t="str">
        <v>Phobida_UserAccount</v>
      </c>
      <c r="G1" s="8" t="str">
        <v>Phobida_MenuRating</v>
      </c>
      <c r="H1" s="8" t="e">
        <v>#N/A</v>
      </c>
      <c r="I1" s="8" t="e">
        <v>#N/A</v>
      </c>
      <c r="J1" s="8" t="e">
        <v>#N/A</v>
      </c>
      <c r="K1" s="8" t="e">
        <v>#N/A</v>
      </c>
      <c r="L1" s="8" t="e">
        <v>#N/A</v>
      </c>
    </row>
    <row r="2" spans="1:12">
      <c r="A2" s="9" t="s">
        <v>15</v>
      </c>
      <c r="B2" s="8">
        <f t="array" ref="B2:L2" ca="1">COUNTA(INDIRECT("'" &amp; B1:L1 &amp; "'!C:C"))-2</f>
        <v>107</v>
      </c>
      <c r="C2" s="8">
        <f ca="1"/>
        <v>16</v>
      </c>
      <c r="D2" s="8">
        <f ca="1"/>
        <v>107</v>
      </c>
      <c r="E2" s="8">
        <f ca="1"/>
        <v>19</v>
      </c>
      <c r="F2" s="8">
        <f ca="1"/>
        <v>2</v>
      </c>
      <c r="G2" s="8">
        <f ca="1"/>
        <v>0</v>
      </c>
      <c r="H2" s="8">
        <f ca="1"/>
        <v>-1</v>
      </c>
      <c r="I2" s="8">
        <f ca="1"/>
        <v>-1</v>
      </c>
      <c r="J2" s="8">
        <f ca="1"/>
        <v>-1</v>
      </c>
      <c r="K2" s="8">
        <f ca="1"/>
        <v>-1</v>
      </c>
      <c r="L2" s="8">
        <f ca="1"/>
        <v>-1</v>
      </c>
    </row>
    <row r="3" spans="1:12">
      <c r="A3" s="9" t="s">
        <v>16</v>
      </c>
      <c r="B3" s="7" t="s">
        <v>767</v>
      </c>
      <c r="C3" s="2" t="s">
        <v>874</v>
      </c>
      <c r="D3" s="2" t="s">
        <v>890</v>
      </c>
      <c r="E3" s="2" t="s">
        <v>997</v>
      </c>
      <c r="F3" s="2" t="s">
        <v>1016</v>
      </c>
      <c r="G3" s="2"/>
      <c r="H3" s="2"/>
      <c r="I3" s="2"/>
      <c r="J3" s="2"/>
      <c r="K3" s="2"/>
      <c r="L3" s="2"/>
    </row>
    <row r="4" spans="1:12">
      <c r="A4" s="9" t="s">
        <v>17</v>
      </c>
      <c r="B4" s="2" t="s">
        <v>768</v>
      </c>
      <c r="C4" s="2" t="s">
        <v>875</v>
      </c>
      <c r="D4" s="2" t="s">
        <v>891</v>
      </c>
      <c r="E4" s="2" t="s">
        <v>998</v>
      </c>
      <c r="F4" s="2" t="s">
        <v>1017</v>
      </c>
      <c r="G4" s="2"/>
      <c r="H4" s="2"/>
      <c r="I4" s="2"/>
      <c r="J4" s="2"/>
      <c r="K4" s="2"/>
      <c r="L4" s="2"/>
    </row>
    <row r="5" spans="1:12">
      <c r="A5" s="9" t="s">
        <v>18</v>
      </c>
      <c r="B5" s="2" t="s">
        <v>769</v>
      </c>
      <c r="C5" s="2" t="s">
        <v>876</v>
      </c>
      <c r="D5" s="2" t="s">
        <v>892</v>
      </c>
      <c r="E5" s="2" t="s">
        <v>999</v>
      </c>
      <c r="F5" s="2"/>
      <c r="G5" s="2"/>
      <c r="H5" s="2"/>
      <c r="I5" s="2"/>
      <c r="J5" s="2"/>
      <c r="K5" s="2"/>
      <c r="L5" s="2"/>
    </row>
    <row r="6" spans="1:12">
      <c r="A6" s="9" t="s">
        <v>19</v>
      </c>
      <c r="B6" s="2" t="s">
        <v>770</v>
      </c>
      <c r="C6" s="2" t="s">
        <v>877</v>
      </c>
      <c r="D6" s="2" t="s">
        <v>893</v>
      </c>
      <c r="E6" s="2" t="s">
        <v>1000</v>
      </c>
      <c r="F6" s="2"/>
      <c r="G6" s="2"/>
      <c r="H6" s="2"/>
      <c r="I6" s="2"/>
      <c r="J6" s="2"/>
      <c r="K6" s="2"/>
      <c r="L6" s="2"/>
    </row>
    <row r="7" spans="1:12">
      <c r="A7" s="9" t="s">
        <v>20</v>
      </c>
      <c r="B7" s="2" t="s">
        <v>771</v>
      </c>
      <c r="C7" s="2" t="s">
        <v>878</v>
      </c>
      <c r="D7" s="2" t="s">
        <v>894</v>
      </c>
      <c r="E7" s="2" t="s">
        <v>1001</v>
      </c>
      <c r="F7" s="2"/>
      <c r="G7" s="2"/>
      <c r="H7" s="2"/>
      <c r="I7" s="2"/>
      <c r="J7" s="2"/>
      <c r="K7" s="2"/>
      <c r="L7" s="2"/>
    </row>
    <row r="8" spans="1:12">
      <c r="A8" s="9" t="s">
        <v>21</v>
      </c>
      <c r="B8" s="2" t="s">
        <v>772</v>
      </c>
      <c r="C8" s="2" t="s">
        <v>879</v>
      </c>
      <c r="D8" s="2" t="s">
        <v>895</v>
      </c>
      <c r="E8" s="2" t="s">
        <v>1002</v>
      </c>
      <c r="F8" s="2"/>
      <c r="G8" s="2"/>
      <c r="H8" s="2"/>
      <c r="I8" s="2"/>
      <c r="J8" s="2"/>
      <c r="K8" s="2"/>
      <c r="L8" s="2"/>
    </row>
    <row r="9" spans="1:12">
      <c r="A9" s="9" t="s">
        <v>22</v>
      </c>
      <c r="B9" s="2" t="s">
        <v>773</v>
      </c>
      <c r="C9" s="2" t="s">
        <v>880</v>
      </c>
      <c r="D9" s="2" t="s">
        <v>896</v>
      </c>
      <c r="E9" s="2" t="s">
        <v>1003</v>
      </c>
      <c r="F9" s="2"/>
      <c r="G9" s="2"/>
      <c r="H9" s="2"/>
      <c r="I9" s="2"/>
      <c r="J9" s="2"/>
      <c r="K9" s="2"/>
      <c r="L9" s="2"/>
    </row>
    <row r="10" spans="1:12">
      <c r="A10" s="9" t="s">
        <v>23</v>
      </c>
      <c r="B10" s="2" t="s">
        <v>774</v>
      </c>
      <c r="C10" s="2" t="s">
        <v>881</v>
      </c>
      <c r="D10" s="2" t="s">
        <v>897</v>
      </c>
      <c r="E10" s="2" t="s">
        <v>1004</v>
      </c>
      <c r="F10" s="2"/>
      <c r="G10" s="2"/>
      <c r="H10" s="2"/>
      <c r="I10" s="2"/>
      <c r="J10" s="2"/>
      <c r="K10" s="2"/>
      <c r="L10" s="2"/>
    </row>
    <row r="11" spans="1:12">
      <c r="A11" s="9" t="s">
        <v>24</v>
      </c>
      <c r="B11" s="2" t="s">
        <v>775</v>
      </c>
      <c r="C11" s="2" t="s">
        <v>882</v>
      </c>
      <c r="D11" s="2" t="s">
        <v>898</v>
      </c>
      <c r="E11" s="2" t="s">
        <v>1005</v>
      </c>
      <c r="F11" s="2"/>
      <c r="G11" s="2"/>
      <c r="H11" s="2"/>
      <c r="I11" s="2"/>
      <c r="J11" s="2"/>
      <c r="K11" s="2"/>
      <c r="L11" s="2"/>
    </row>
    <row r="12" spans="1:12">
      <c r="A12" s="9" t="s">
        <v>25</v>
      </c>
      <c r="B12" s="2" t="s">
        <v>776</v>
      </c>
      <c r="C12" s="2" t="s">
        <v>883</v>
      </c>
      <c r="D12" s="2" t="s">
        <v>899</v>
      </c>
      <c r="E12" s="2" t="s">
        <v>1006</v>
      </c>
      <c r="F12" s="2"/>
      <c r="G12" s="2"/>
      <c r="H12" s="2"/>
      <c r="I12" s="2"/>
      <c r="J12" s="2"/>
      <c r="K12" s="2"/>
      <c r="L12" s="2"/>
    </row>
    <row r="13" spans="1:12">
      <c r="A13" s="9" t="s">
        <v>26</v>
      </c>
      <c r="B13" s="7" t="s">
        <v>777</v>
      </c>
      <c r="C13" s="2" t="s">
        <v>884</v>
      </c>
      <c r="D13" s="2" t="s">
        <v>900</v>
      </c>
      <c r="E13" s="2" t="s">
        <v>1007</v>
      </c>
      <c r="F13" s="2"/>
      <c r="G13" s="2"/>
      <c r="H13" s="2"/>
      <c r="I13" s="2"/>
      <c r="J13" s="2"/>
      <c r="K13" s="2"/>
      <c r="L13" s="2"/>
    </row>
    <row r="14" spans="1:12">
      <c r="A14" s="9" t="s">
        <v>27</v>
      </c>
      <c r="B14" s="2" t="s">
        <v>778</v>
      </c>
      <c r="C14" s="2" t="s">
        <v>885</v>
      </c>
      <c r="D14" s="2" t="s">
        <v>901</v>
      </c>
      <c r="E14" s="2" t="s">
        <v>1008</v>
      </c>
      <c r="F14" s="2"/>
      <c r="G14" s="2"/>
      <c r="H14" s="2"/>
      <c r="I14" s="2"/>
      <c r="J14" s="2"/>
      <c r="K14" s="2"/>
      <c r="L14" s="2"/>
    </row>
    <row r="15" spans="1:12">
      <c r="A15" s="9" t="s">
        <v>28</v>
      </c>
      <c r="B15" s="2" t="s">
        <v>779</v>
      </c>
      <c r="C15" s="2" t="s">
        <v>886</v>
      </c>
      <c r="D15" s="2" t="s">
        <v>902</v>
      </c>
      <c r="E15" s="2" t="s">
        <v>1009</v>
      </c>
      <c r="F15" s="2"/>
      <c r="G15" s="2"/>
      <c r="H15" s="2"/>
      <c r="I15" s="2"/>
      <c r="J15" s="2"/>
      <c r="K15" s="2"/>
      <c r="L15" s="2"/>
    </row>
    <row r="16" spans="1:12">
      <c r="A16" s="9" t="s">
        <v>29</v>
      </c>
      <c r="B16" s="2" t="s">
        <v>780</v>
      </c>
      <c r="C16" s="2" t="s">
        <v>887</v>
      </c>
      <c r="D16" s="2" t="s">
        <v>903</v>
      </c>
      <c r="E16" s="2" t="s">
        <v>1010</v>
      </c>
      <c r="F16" s="2"/>
      <c r="G16" s="2"/>
      <c r="H16" s="2"/>
      <c r="I16" s="2"/>
      <c r="J16" s="2"/>
      <c r="K16" s="2"/>
      <c r="L16" s="2"/>
    </row>
    <row r="17" spans="1:12">
      <c r="A17" s="9" t="s">
        <v>30</v>
      </c>
      <c r="B17" s="7" t="s">
        <v>781</v>
      </c>
      <c r="C17" s="2" t="s">
        <v>888</v>
      </c>
      <c r="D17" s="2" t="s">
        <v>904</v>
      </c>
      <c r="E17" s="2" t="s">
        <v>1011</v>
      </c>
      <c r="F17" s="2"/>
      <c r="G17" s="2"/>
      <c r="H17" s="2"/>
      <c r="I17" s="2"/>
      <c r="J17" s="2"/>
      <c r="K17" s="2"/>
      <c r="L17" s="2"/>
    </row>
    <row r="18" spans="1:12">
      <c r="A18" s="9" t="s">
        <v>31</v>
      </c>
      <c r="B18" s="2" t="s">
        <v>782</v>
      </c>
      <c r="C18" s="2" t="s">
        <v>889</v>
      </c>
      <c r="D18" s="2" t="s">
        <v>905</v>
      </c>
      <c r="E18" s="2" t="s">
        <v>1012</v>
      </c>
      <c r="F18" s="2"/>
      <c r="G18" s="2"/>
      <c r="H18" s="2"/>
      <c r="I18" s="2"/>
      <c r="J18" s="2"/>
      <c r="K18" s="2"/>
      <c r="L18" s="2"/>
    </row>
    <row r="19" spans="1:12">
      <c r="A19" s="9" t="s">
        <v>32</v>
      </c>
      <c r="B19" s="2" t="s">
        <v>783</v>
      </c>
      <c r="C19" s="2"/>
      <c r="D19" s="2" t="s">
        <v>906</v>
      </c>
      <c r="E19" s="2" t="s">
        <v>1013</v>
      </c>
      <c r="F19" s="2"/>
      <c r="G19" s="2"/>
      <c r="H19" s="2"/>
      <c r="I19" s="2"/>
      <c r="J19" s="2"/>
      <c r="K19" s="2"/>
      <c r="L19" s="2"/>
    </row>
    <row r="20" spans="1:12">
      <c r="A20" s="9" t="s">
        <v>33</v>
      </c>
      <c r="B20" s="2" t="s">
        <v>784</v>
      </c>
      <c r="C20" s="2"/>
      <c r="D20" s="2" t="s">
        <v>907</v>
      </c>
      <c r="E20" s="2" t="s">
        <v>1014</v>
      </c>
      <c r="F20" s="2"/>
      <c r="G20" s="2"/>
      <c r="H20" s="2"/>
      <c r="I20" s="2"/>
      <c r="J20" s="2"/>
      <c r="K20" s="2"/>
      <c r="L20" s="2"/>
    </row>
    <row r="21" spans="1:12">
      <c r="A21" s="9" t="s">
        <v>34</v>
      </c>
      <c r="B21" s="2" t="s">
        <v>785</v>
      </c>
      <c r="C21" s="2"/>
      <c r="D21" s="2" t="s">
        <v>908</v>
      </c>
      <c r="E21" s="2" t="s">
        <v>1015</v>
      </c>
      <c r="F21" s="2"/>
      <c r="G21" s="2"/>
      <c r="H21" s="2"/>
      <c r="I21" s="2"/>
      <c r="J21" s="2"/>
      <c r="K21" s="2"/>
      <c r="L21" s="2"/>
    </row>
    <row r="22" spans="1:12">
      <c r="A22" s="9" t="s">
        <v>35</v>
      </c>
      <c r="B22" s="2" t="s">
        <v>786</v>
      </c>
      <c r="C22" s="2"/>
      <c r="D22" s="2" t="s">
        <v>909</v>
      </c>
      <c r="E22" s="2"/>
      <c r="F22" s="2"/>
      <c r="G22" s="2"/>
      <c r="H22" s="2"/>
      <c r="I22" s="2"/>
      <c r="J22" s="2"/>
      <c r="K22" s="2"/>
      <c r="L22" s="2"/>
    </row>
    <row r="23" spans="1:12">
      <c r="A23" s="9" t="s">
        <v>36</v>
      </c>
      <c r="B23" s="2" t="s">
        <v>787</v>
      </c>
      <c r="C23" s="2"/>
      <c r="D23" s="2" t="s">
        <v>910</v>
      </c>
      <c r="E23" s="2"/>
      <c r="F23" s="2"/>
      <c r="G23" s="2"/>
      <c r="H23" s="2"/>
      <c r="I23" s="2"/>
      <c r="J23" s="2"/>
      <c r="K23" s="2"/>
      <c r="L23" s="2"/>
    </row>
    <row r="24" spans="1:12">
      <c r="A24" s="9" t="s">
        <v>37</v>
      </c>
      <c r="B24" s="2" t="s">
        <v>788</v>
      </c>
      <c r="C24" s="2"/>
      <c r="D24" s="2" t="s">
        <v>911</v>
      </c>
      <c r="E24" s="2"/>
      <c r="F24" s="2"/>
      <c r="G24" s="2"/>
      <c r="H24" s="2"/>
      <c r="I24" s="2"/>
      <c r="J24" s="2"/>
      <c r="K24" s="2"/>
      <c r="L24" s="2"/>
    </row>
    <row r="25" spans="1:12">
      <c r="A25" s="9" t="s">
        <v>38</v>
      </c>
      <c r="B25" s="2" t="s">
        <v>789</v>
      </c>
      <c r="C25" s="2"/>
      <c r="D25" s="2" t="s">
        <v>912</v>
      </c>
      <c r="E25" s="2"/>
      <c r="F25" s="2"/>
      <c r="G25" s="2"/>
      <c r="H25" s="2"/>
      <c r="I25" s="2"/>
      <c r="J25" s="2"/>
      <c r="K25" s="2"/>
      <c r="L25" s="2"/>
    </row>
    <row r="26" spans="1:12">
      <c r="A26" s="9" t="s">
        <v>39</v>
      </c>
      <c r="B26" s="2" t="s">
        <v>790</v>
      </c>
      <c r="C26" s="2"/>
      <c r="D26" s="2" t="s">
        <v>913</v>
      </c>
      <c r="E26" s="2"/>
      <c r="F26" s="2"/>
      <c r="G26" s="2"/>
      <c r="H26" s="2"/>
      <c r="I26" s="2"/>
      <c r="J26" s="2"/>
      <c r="K26" s="2"/>
      <c r="L26" s="2"/>
    </row>
    <row r="27" spans="1:12">
      <c r="A27" s="9" t="s">
        <v>40</v>
      </c>
      <c r="B27" s="2" t="s">
        <v>791</v>
      </c>
      <c r="C27" s="2"/>
      <c r="D27" s="2" t="s">
        <v>914</v>
      </c>
      <c r="E27" s="2"/>
      <c r="F27" s="2"/>
      <c r="G27" s="2"/>
      <c r="H27" s="2"/>
      <c r="I27" s="2"/>
      <c r="J27" s="2"/>
      <c r="K27" s="2"/>
      <c r="L27" s="2"/>
    </row>
    <row r="28" spans="1:12">
      <c r="A28" s="9" t="s">
        <v>41</v>
      </c>
      <c r="B28" s="2" t="s">
        <v>792</v>
      </c>
      <c r="C28" s="2"/>
      <c r="D28" s="2" t="s">
        <v>915</v>
      </c>
      <c r="E28" s="2"/>
      <c r="F28" s="2"/>
      <c r="G28" s="2"/>
      <c r="H28" s="2"/>
      <c r="I28" s="2"/>
      <c r="J28" s="2"/>
      <c r="K28" s="2"/>
      <c r="L28" s="2"/>
    </row>
    <row r="29" spans="1:12">
      <c r="A29" s="9" t="s">
        <v>42</v>
      </c>
      <c r="B29" s="2" t="s">
        <v>793</v>
      </c>
      <c r="C29" s="2"/>
      <c r="D29" s="2" t="s">
        <v>916</v>
      </c>
      <c r="E29" s="2"/>
      <c r="F29" s="2"/>
      <c r="G29" s="2"/>
      <c r="H29" s="2"/>
      <c r="I29" s="2"/>
      <c r="J29" s="2"/>
      <c r="K29" s="2"/>
      <c r="L29" s="2"/>
    </row>
    <row r="30" spans="1:12">
      <c r="A30" s="9" t="s">
        <v>43</v>
      </c>
      <c r="B30" s="7" t="s">
        <v>794</v>
      </c>
      <c r="C30" s="2"/>
      <c r="D30" s="2" t="s">
        <v>917</v>
      </c>
      <c r="E30" s="2"/>
      <c r="F30" s="2"/>
      <c r="G30" s="2"/>
      <c r="H30" s="2"/>
      <c r="I30" s="2"/>
      <c r="J30" s="2"/>
      <c r="K30" s="2"/>
      <c r="L30" s="2"/>
    </row>
    <row r="31" spans="1:12">
      <c r="A31" s="9" t="s">
        <v>44</v>
      </c>
      <c r="B31" s="2" t="s">
        <v>795</v>
      </c>
      <c r="C31" s="2"/>
      <c r="D31" s="2" t="s">
        <v>918</v>
      </c>
      <c r="E31" s="2"/>
      <c r="F31" s="2"/>
      <c r="G31" s="2"/>
      <c r="H31" s="2"/>
      <c r="I31" s="2"/>
      <c r="J31" s="2"/>
      <c r="K31" s="2"/>
      <c r="L31" s="2"/>
    </row>
    <row r="32" spans="1:12">
      <c r="A32" s="9" t="s">
        <v>45</v>
      </c>
      <c r="B32" s="2" t="s">
        <v>796</v>
      </c>
      <c r="C32" s="2"/>
      <c r="D32" s="2" t="s">
        <v>919</v>
      </c>
      <c r="E32" s="2"/>
      <c r="F32" s="2"/>
      <c r="G32" s="2"/>
      <c r="H32" s="2"/>
      <c r="I32" s="2"/>
      <c r="J32" s="2"/>
      <c r="K32" s="2"/>
      <c r="L32" s="2"/>
    </row>
    <row r="33" spans="1:12">
      <c r="A33" s="9" t="s">
        <v>46</v>
      </c>
      <c r="B33" s="2" t="s">
        <v>797</v>
      </c>
      <c r="C33" s="2"/>
      <c r="D33" s="2" t="s">
        <v>920</v>
      </c>
      <c r="E33" s="2"/>
      <c r="F33" s="2"/>
      <c r="G33" s="2"/>
      <c r="H33" s="2"/>
      <c r="I33" s="2"/>
      <c r="J33" s="2"/>
      <c r="K33" s="2"/>
      <c r="L33" s="2"/>
    </row>
    <row r="34" spans="1:12">
      <c r="A34" s="9" t="s">
        <v>47</v>
      </c>
      <c r="B34" s="2" t="s">
        <v>798</v>
      </c>
      <c r="C34" s="2"/>
      <c r="D34" s="2" t="s">
        <v>921</v>
      </c>
      <c r="E34" s="2"/>
      <c r="F34" s="2"/>
      <c r="G34" s="2"/>
      <c r="H34" s="2"/>
      <c r="I34" s="2"/>
      <c r="J34" s="2"/>
      <c r="K34" s="2"/>
      <c r="L34" s="2"/>
    </row>
    <row r="35" spans="1:12">
      <c r="A35" s="9" t="s">
        <v>48</v>
      </c>
      <c r="B35" s="2" t="s">
        <v>799</v>
      </c>
      <c r="C35" s="2"/>
      <c r="D35" s="2" t="s">
        <v>922</v>
      </c>
      <c r="E35" s="2"/>
      <c r="F35" s="2"/>
      <c r="G35" s="2"/>
      <c r="H35" s="2"/>
      <c r="I35" s="2"/>
      <c r="J35" s="2"/>
      <c r="K35" s="2"/>
      <c r="L35" s="2"/>
    </row>
    <row r="36" spans="1:12">
      <c r="A36" s="9" t="s">
        <v>49</v>
      </c>
      <c r="B36" s="2" t="s">
        <v>800</v>
      </c>
      <c r="C36" s="2"/>
      <c r="D36" s="2" t="s">
        <v>923</v>
      </c>
      <c r="E36" s="2"/>
      <c r="F36" s="2"/>
      <c r="G36" s="2"/>
      <c r="H36" s="2"/>
      <c r="I36" s="2"/>
      <c r="J36" s="2"/>
      <c r="K36" s="2"/>
      <c r="L36" s="2"/>
    </row>
    <row r="37" spans="1:12">
      <c r="A37" s="9" t="s">
        <v>50</v>
      </c>
      <c r="B37" s="2" t="s">
        <v>801</v>
      </c>
      <c r="C37" s="2"/>
      <c r="D37" s="2" t="s">
        <v>924</v>
      </c>
      <c r="E37" s="2"/>
      <c r="F37" s="2"/>
      <c r="G37" s="2"/>
      <c r="H37" s="2"/>
      <c r="I37" s="2"/>
      <c r="J37" s="2"/>
      <c r="K37" s="2"/>
      <c r="L37" s="2"/>
    </row>
    <row r="38" spans="1:12">
      <c r="A38" s="9" t="s">
        <v>51</v>
      </c>
      <c r="B38" s="2" t="s">
        <v>802</v>
      </c>
      <c r="C38" s="2"/>
      <c r="D38" s="2" t="s">
        <v>925</v>
      </c>
      <c r="E38" s="2"/>
      <c r="F38" s="2"/>
      <c r="G38" s="2"/>
      <c r="H38" s="2"/>
      <c r="I38" s="2"/>
      <c r="J38" s="2"/>
      <c r="K38" s="2"/>
      <c r="L38" s="2"/>
    </row>
    <row r="39" spans="1:12">
      <c r="A39" s="9" t="s">
        <v>52</v>
      </c>
      <c r="B39" s="2" t="s">
        <v>803</v>
      </c>
      <c r="C39" s="2"/>
      <c r="D39" s="2" t="s">
        <v>926</v>
      </c>
      <c r="E39" s="2"/>
      <c r="F39" s="2"/>
      <c r="G39" s="2"/>
      <c r="H39" s="2"/>
      <c r="I39" s="2"/>
      <c r="J39" s="2"/>
      <c r="K39" s="2"/>
      <c r="L39" s="2"/>
    </row>
    <row r="40" spans="1:12">
      <c r="A40" s="9" t="s">
        <v>53</v>
      </c>
      <c r="B40" s="2" t="s">
        <v>804</v>
      </c>
      <c r="C40" s="2"/>
      <c r="D40" s="2" t="s">
        <v>927</v>
      </c>
      <c r="E40" s="2"/>
      <c r="F40" s="2"/>
      <c r="G40" s="2"/>
      <c r="H40" s="2"/>
      <c r="I40" s="2"/>
      <c r="J40" s="2"/>
      <c r="K40" s="2"/>
      <c r="L40" s="2"/>
    </row>
    <row r="41" spans="1:12">
      <c r="A41" s="9" t="s">
        <v>54</v>
      </c>
      <c r="B41" s="2" t="s">
        <v>805</v>
      </c>
      <c r="C41" s="2"/>
      <c r="D41" s="2" t="s">
        <v>928</v>
      </c>
      <c r="E41" s="2"/>
      <c r="F41" s="2"/>
      <c r="G41" s="2"/>
      <c r="H41" s="2"/>
      <c r="I41" s="2"/>
      <c r="J41" s="2"/>
      <c r="K41" s="2"/>
      <c r="L41" s="2"/>
    </row>
    <row r="42" spans="1:12">
      <c r="A42" s="9" t="s">
        <v>55</v>
      </c>
      <c r="B42" s="2" t="s">
        <v>806</v>
      </c>
      <c r="C42" s="2"/>
      <c r="D42" s="2" t="s">
        <v>929</v>
      </c>
      <c r="E42" s="2"/>
      <c r="F42" s="2"/>
      <c r="G42" s="2"/>
      <c r="H42" s="2"/>
      <c r="I42" s="2"/>
      <c r="J42" s="2"/>
      <c r="K42" s="2"/>
      <c r="L42" s="2"/>
    </row>
    <row r="43" spans="1:12">
      <c r="A43" s="9" t="s">
        <v>56</v>
      </c>
      <c r="B43" s="2" t="s">
        <v>807</v>
      </c>
      <c r="C43" s="2"/>
      <c r="D43" s="2" t="s">
        <v>930</v>
      </c>
      <c r="E43" s="2"/>
      <c r="F43" s="2"/>
      <c r="G43" s="2"/>
      <c r="H43" s="2"/>
      <c r="I43" s="2"/>
      <c r="J43" s="2"/>
      <c r="K43" s="2"/>
      <c r="L43" s="2"/>
    </row>
    <row r="44" spans="1:12">
      <c r="A44" s="9" t="s">
        <v>57</v>
      </c>
      <c r="B44" s="2" t="s">
        <v>808</v>
      </c>
      <c r="C44" s="2"/>
      <c r="D44" s="2" t="s">
        <v>931</v>
      </c>
      <c r="E44" s="2"/>
      <c r="F44" s="2"/>
      <c r="G44" s="2"/>
      <c r="H44" s="2"/>
      <c r="I44" s="2"/>
      <c r="J44" s="2"/>
      <c r="K44" s="2"/>
      <c r="L44" s="2"/>
    </row>
    <row r="45" spans="1:12">
      <c r="A45" s="9" t="s">
        <v>58</v>
      </c>
      <c r="B45" s="2" t="s">
        <v>809</v>
      </c>
      <c r="C45" s="2"/>
      <c r="D45" s="2" t="s">
        <v>932</v>
      </c>
      <c r="E45" s="2"/>
      <c r="F45" s="2"/>
      <c r="G45" s="2"/>
      <c r="H45" s="2"/>
      <c r="I45" s="2"/>
      <c r="J45" s="2"/>
      <c r="K45" s="2"/>
      <c r="L45" s="2"/>
    </row>
    <row r="46" spans="1:12">
      <c r="A46" s="9" t="s">
        <v>59</v>
      </c>
      <c r="B46" s="2" t="s">
        <v>810</v>
      </c>
      <c r="C46" s="2"/>
      <c r="D46" s="2" t="s">
        <v>933</v>
      </c>
      <c r="E46" s="2"/>
      <c r="F46" s="2"/>
      <c r="G46" s="2"/>
      <c r="H46" s="2"/>
      <c r="I46" s="2"/>
      <c r="J46" s="2"/>
      <c r="K46" s="2"/>
      <c r="L46" s="2"/>
    </row>
    <row r="47" spans="1:12">
      <c r="A47" s="9" t="s">
        <v>60</v>
      </c>
      <c r="B47" s="2" t="s">
        <v>811</v>
      </c>
      <c r="C47" s="2"/>
      <c r="D47" s="2" t="s">
        <v>934</v>
      </c>
      <c r="E47" s="2"/>
      <c r="F47" s="2"/>
      <c r="G47" s="2"/>
      <c r="H47" s="2"/>
      <c r="I47" s="2"/>
      <c r="J47" s="2"/>
      <c r="K47" s="2"/>
      <c r="L47" s="2"/>
    </row>
    <row r="48" spans="1:12">
      <c r="A48" s="9" t="s">
        <v>61</v>
      </c>
      <c r="B48" s="2" t="s">
        <v>812</v>
      </c>
      <c r="C48" s="2"/>
      <c r="D48" s="2" t="s">
        <v>935</v>
      </c>
      <c r="E48" s="2"/>
      <c r="F48" s="2"/>
      <c r="G48" s="2"/>
      <c r="H48" s="2"/>
      <c r="I48" s="2"/>
      <c r="J48" s="2"/>
      <c r="K48" s="2"/>
      <c r="L48" s="2"/>
    </row>
    <row r="49" spans="1:12">
      <c r="A49" s="9" t="s">
        <v>62</v>
      </c>
      <c r="B49" s="2" t="s">
        <v>813</v>
      </c>
      <c r="C49" s="2"/>
      <c r="D49" s="2" t="s">
        <v>936</v>
      </c>
      <c r="E49" s="2"/>
      <c r="F49" s="2"/>
      <c r="G49" s="2"/>
      <c r="H49" s="2"/>
      <c r="I49" s="2"/>
      <c r="J49" s="2"/>
      <c r="K49" s="2"/>
      <c r="L49" s="2"/>
    </row>
    <row r="50" spans="1:12">
      <c r="A50" s="9" t="s">
        <v>63</v>
      </c>
      <c r="B50" s="2" t="s">
        <v>814</v>
      </c>
      <c r="C50" s="2"/>
      <c r="D50" s="2" t="s">
        <v>937</v>
      </c>
      <c r="E50" s="2"/>
      <c r="F50" s="2"/>
      <c r="G50" s="2"/>
      <c r="H50" s="2"/>
      <c r="I50" s="2"/>
      <c r="J50" s="2"/>
      <c r="K50" s="2"/>
      <c r="L50" s="2"/>
    </row>
    <row r="51" spans="1:12">
      <c r="A51" s="9" t="s">
        <v>64</v>
      </c>
      <c r="B51" s="2" t="s">
        <v>815</v>
      </c>
      <c r="C51" s="2"/>
      <c r="D51" s="2" t="s">
        <v>938</v>
      </c>
      <c r="E51" s="2"/>
      <c r="F51" s="2"/>
      <c r="G51" s="2"/>
      <c r="H51" s="2"/>
      <c r="I51" s="2"/>
      <c r="J51" s="2"/>
      <c r="K51" s="2"/>
      <c r="L51" s="2"/>
    </row>
    <row r="52" spans="1:12">
      <c r="A52" s="9" t="s">
        <v>65</v>
      </c>
      <c r="B52" s="2" t="s">
        <v>816</v>
      </c>
      <c r="C52" s="2"/>
      <c r="D52" s="2" t="s">
        <v>939</v>
      </c>
      <c r="E52" s="2"/>
      <c r="F52" s="2"/>
      <c r="G52" s="2"/>
      <c r="H52" s="2"/>
      <c r="I52" s="2"/>
      <c r="J52" s="2"/>
      <c r="K52" s="2"/>
      <c r="L52" s="2"/>
    </row>
    <row r="53" spans="1:12">
      <c r="A53" s="9" t="s">
        <v>66</v>
      </c>
      <c r="B53" s="2" t="s">
        <v>817</v>
      </c>
      <c r="C53" s="2"/>
      <c r="D53" s="2" t="s">
        <v>940</v>
      </c>
      <c r="E53" s="2"/>
      <c r="F53" s="2"/>
      <c r="G53" s="2"/>
      <c r="H53" s="2"/>
      <c r="I53" s="2"/>
      <c r="J53" s="2"/>
      <c r="K53" s="2"/>
      <c r="L53" s="2"/>
    </row>
    <row r="54" spans="1:12">
      <c r="A54" s="9" t="s">
        <v>67</v>
      </c>
      <c r="B54" s="2" t="s">
        <v>818</v>
      </c>
      <c r="C54" s="2"/>
      <c r="D54" s="2" t="s">
        <v>941</v>
      </c>
      <c r="E54" s="2"/>
      <c r="F54" s="2"/>
      <c r="G54" s="2"/>
      <c r="H54" s="2"/>
      <c r="I54" s="2"/>
      <c r="J54" s="2"/>
      <c r="K54" s="2"/>
      <c r="L54" s="2"/>
    </row>
    <row r="55" spans="1:12">
      <c r="A55" s="9" t="s">
        <v>68</v>
      </c>
      <c r="B55" s="2" t="s">
        <v>819</v>
      </c>
      <c r="C55" s="2"/>
      <c r="D55" s="2" t="s">
        <v>942</v>
      </c>
      <c r="E55" s="2"/>
      <c r="F55" s="2"/>
      <c r="G55" s="2"/>
      <c r="H55" s="2"/>
      <c r="I55" s="2"/>
      <c r="J55" s="2"/>
      <c r="K55" s="2"/>
      <c r="L55" s="2"/>
    </row>
    <row r="56" spans="1:12">
      <c r="A56" s="9" t="s">
        <v>69</v>
      </c>
      <c r="B56" s="2" t="s">
        <v>820</v>
      </c>
      <c r="C56" s="2"/>
      <c r="D56" s="2" t="s">
        <v>943</v>
      </c>
      <c r="E56" s="2"/>
      <c r="F56" s="2"/>
      <c r="G56" s="2"/>
      <c r="H56" s="2"/>
      <c r="I56" s="2"/>
      <c r="J56" s="2"/>
      <c r="K56" s="2"/>
      <c r="L56" s="2"/>
    </row>
    <row r="57" spans="1:12">
      <c r="A57" s="9" t="s">
        <v>70</v>
      </c>
      <c r="B57" s="2" t="s">
        <v>821</v>
      </c>
      <c r="C57" s="2"/>
      <c r="D57" s="2" t="s">
        <v>944</v>
      </c>
      <c r="E57" s="2"/>
      <c r="F57" s="2"/>
      <c r="G57" s="2"/>
      <c r="H57" s="2"/>
      <c r="I57" s="2"/>
      <c r="J57" s="2"/>
      <c r="K57" s="2"/>
      <c r="L57" s="2"/>
    </row>
    <row r="58" spans="1:12">
      <c r="A58" s="9" t="s">
        <v>71</v>
      </c>
      <c r="B58" s="2" t="s">
        <v>822</v>
      </c>
      <c r="C58" s="2"/>
      <c r="D58" s="2" t="s">
        <v>945</v>
      </c>
      <c r="E58" s="2"/>
      <c r="F58" s="2"/>
      <c r="G58" s="2"/>
      <c r="H58" s="2"/>
      <c r="I58" s="2"/>
      <c r="J58" s="2"/>
      <c r="K58" s="2"/>
      <c r="L58" s="2"/>
    </row>
    <row r="59" spans="1:12">
      <c r="A59" s="9" t="s">
        <v>72</v>
      </c>
      <c r="B59" s="2" t="s">
        <v>823</v>
      </c>
      <c r="C59" s="2"/>
      <c r="D59" s="2" t="s">
        <v>946</v>
      </c>
      <c r="E59" s="2"/>
      <c r="F59" s="2"/>
      <c r="G59" s="2"/>
      <c r="H59" s="2"/>
      <c r="I59" s="2"/>
      <c r="J59" s="2"/>
      <c r="K59" s="2"/>
      <c r="L59" s="2"/>
    </row>
    <row r="60" spans="1:12">
      <c r="A60" s="9" t="s">
        <v>73</v>
      </c>
      <c r="B60" s="2" t="s">
        <v>824</v>
      </c>
      <c r="C60" s="2"/>
      <c r="D60" s="2" t="s">
        <v>947</v>
      </c>
      <c r="E60" s="2"/>
      <c r="F60" s="2"/>
      <c r="G60" s="2"/>
      <c r="H60" s="2"/>
      <c r="I60" s="2"/>
      <c r="J60" s="2"/>
      <c r="K60" s="2"/>
      <c r="L60" s="2"/>
    </row>
    <row r="61" spans="1:12">
      <c r="A61" s="9" t="s">
        <v>74</v>
      </c>
      <c r="B61" s="2" t="s">
        <v>825</v>
      </c>
      <c r="C61" s="2"/>
      <c r="D61" s="2" t="s">
        <v>948</v>
      </c>
      <c r="E61" s="2"/>
      <c r="F61" s="2"/>
      <c r="G61" s="2"/>
      <c r="H61" s="2"/>
      <c r="I61" s="2"/>
      <c r="J61" s="2"/>
      <c r="K61" s="2"/>
      <c r="L61" s="2"/>
    </row>
    <row r="62" spans="1:12">
      <c r="A62" s="9" t="s">
        <v>75</v>
      </c>
      <c r="B62" s="2" t="s">
        <v>826</v>
      </c>
      <c r="C62" s="2"/>
      <c r="D62" s="2" t="s">
        <v>949</v>
      </c>
      <c r="E62" s="2"/>
      <c r="F62" s="2"/>
      <c r="G62" s="2"/>
      <c r="H62" s="2"/>
      <c r="I62" s="2"/>
      <c r="J62" s="2"/>
      <c r="K62" s="2"/>
      <c r="L62" s="2"/>
    </row>
    <row r="63" spans="1:12">
      <c r="A63" s="9" t="s">
        <v>76</v>
      </c>
      <c r="B63" s="2" t="s">
        <v>827</v>
      </c>
      <c r="C63" s="2"/>
      <c r="D63" s="2" t="s">
        <v>950</v>
      </c>
      <c r="E63" s="2"/>
      <c r="F63" s="2"/>
      <c r="G63" s="2"/>
      <c r="H63" s="2"/>
      <c r="I63" s="2"/>
      <c r="J63" s="2"/>
      <c r="K63" s="2"/>
      <c r="L63" s="2"/>
    </row>
    <row r="64" spans="1:12">
      <c r="A64" s="9" t="s">
        <v>77</v>
      </c>
      <c r="B64" s="2" t="s">
        <v>828</v>
      </c>
      <c r="C64" s="2"/>
      <c r="D64" s="2" t="s">
        <v>951</v>
      </c>
      <c r="E64" s="2"/>
      <c r="F64" s="2"/>
      <c r="G64" s="2"/>
      <c r="H64" s="2"/>
      <c r="I64" s="2"/>
      <c r="J64" s="2"/>
      <c r="K64" s="2"/>
      <c r="L64" s="2"/>
    </row>
    <row r="65" spans="1:12">
      <c r="A65" s="9" t="s">
        <v>78</v>
      </c>
      <c r="B65" s="2" t="s">
        <v>829</v>
      </c>
      <c r="C65" s="2"/>
      <c r="D65" s="2" t="s">
        <v>952</v>
      </c>
      <c r="E65" s="2"/>
      <c r="F65" s="2"/>
      <c r="G65" s="2"/>
      <c r="H65" s="2"/>
      <c r="I65" s="2"/>
      <c r="J65" s="2"/>
      <c r="K65" s="2"/>
      <c r="L65" s="2"/>
    </row>
    <row r="66" spans="1:12">
      <c r="A66" s="9" t="s">
        <v>79</v>
      </c>
      <c r="B66" s="2" t="s">
        <v>830</v>
      </c>
      <c r="C66" s="2"/>
      <c r="D66" s="2" t="s">
        <v>953</v>
      </c>
      <c r="E66" s="2"/>
      <c r="F66" s="2"/>
      <c r="G66" s="2"/>
      <c r="H66" s="2"/>
      <c r="I66" s="2"/>
      <c r="J66" s="2"/>
      <c r="K66" s="2"/>
      <c r="L66" s="2"/>
    </row>
    <row r="67" spans="1:12">
      <c r="A67" s="9" t="s">
        <v>80</v>
      </c>
      <c r="B67" s="2" t="s">
        <v>831</v>
      </c>
      <c r="C67" s="2"/>
      <c r="D67" s="2" t="s">
        <v>954</v>
      </c>
      <c r="E67" s="2"/>
      <c r="F67" s="2"/>
      <c r="G67" s="2"/>
      <c r="H67" s="2"/>
      <c r="I67" s="2"/>
      <c r="J67" s="2"/>
      <c r="K67" s="2"/>
      <c r="L67" s="2"/>
    </row>
    <row r="68" spans="1:12">
      <c r="A68" s="9" t="s">
        <v>81</v>
      </c>
      <c r="B68" s="2" t="s">
        <v>832</v>
      </c>
      <c r="C68" s="2"/>
      <c r="D68" s="2" t="s">
        <v>955</v>
      </c>
      <c r="E68" s="2"/>
      <c r="F68" s="2"/>
      <c r="G68" s="2"/>
      <c r="H68" s="2"/>
      <c r="I68" s="2"/>
      <c r="J68" s="2"/>
      <c r="K68" s="2"/>
      <c r="L68" s="2"/>
    </row>
    <row r="69" spans="1:12">
      <c r="A69" s="9" t="s">
        <v>82</v>
      </c>
      <c r="B69" s="2" t="s">
        <v>833</v>
      </c>
      <c r="C69" s="2"/>
      <c r="D69" s="2" t="s">
        <v>956</v>
      </c>
      <c r="E69" s="2"/>
      <c r="F69" s="2"/>
      <c r="G69" s="2"/>
      <c r="H69" s="2"/>
      <c r="I69" s="2"/>
      <c r="J69" s="2"/>
      <c r="K69" s="2"/>
      <c r="L69" s="2"/>
    </row>
    <row r="70" spans="1:12">
      <c r="A70" s="9" t="s">
        <v>83</v>
      </c>
      <c r="B70" s="2" t="s">
        <v>834</v>
      </c>
      <c r="C70" s="2"/>
      <c r="D70" s="2" t="s">
        <v>957</v>
      </c>
      <c r="E70" s="2"/>
      <c r="F70" s="2"/>
      <c r="G70" s="2"/>
      <c r="H70" s="2"/>
      <c r="I70" s="2"/>
      <c r="J70" s="2"/>
      <c r="K70" s="2"/>
      <c r="L70" s="2"/>
    </row>
    <row r="71" spans="1:12">
      <c r="A71" s="9" t="s">
        <v>84</v>
      </c>
      <c r="B71" s="2" t="s">
        <v>835</v>
      </c>
      <c r="C71" s="2"/>
      <c r="D71" s="2" t="s">
        <v>958</v>
      </c>
      <c r="E71" s="2"/>
      <c r="F71" s="2"/>
      <c r="G71" s="2"/>
      <c r="H71" s="2"/>
      <c r="I71" s="2"/>
      <c r="J71" s="2"/>
      <c r="K71" s="2"/>
      <c r="L71" s="2"/>
    </row>
    <row r="72" spans="1:12">
      <c r="A72" s="9" t="s">
        <v>85</v>
      </c>
      <c r="B72" s="2" t="s">
        <v>836</v>
      </c>
      <c r="C72" s="2"/>
      <c r="D72" s="2" t="s">
        <v>959</v>
      </c>
      <c r="E72" s="2"/>
      <c r="F72" s="2"/>
      <c r="G72" s="2"/>
      <c r="H72" s="2"/>
      <c r="I72" s="2"/>
      <c r="J72" s="2"/>
      <c r="K72" s="2"/>
      <c r="L72" s="2"/>
    </row>
    <row r="73" spans="1:12">
      <c r="A73" s="9" t="s">
        <v>86</v>
      </c>
      <c r="B73" s="2" t="s">
        <v>837</v>
      </c>
      <c r="C73" s="2"/>
      <c r="D73" s="2" t="s">
        <v>960</v>
      </c>
      <c r="E73" s="2"/>
      <c r="F73" s="2"/>
      <c r="G73" s="2"/>
      <c r="H73" s="2"/>
      <c r="I73" s="2"/>
      <c r="J73" s="2"/>
      <c r="K73" s="2"/>
      <c r="L73" s="2"/>
    </row>
    <row r="74" spans="1:12">
      <c r="A74" s="9" t="s">
        <v>87</v>
      </c>
      <c r="B74" s="2" t="s">
        <v>838</v>
      </c>
      <c r="C74" s="2"/>
      <c r="D74" s="2" t="s">
        <v>961</v>
      </c>
      <c r="E74" s="2"/>
      <c r="F74" s="2"/>
      <c r="G74" s="2"/>
      <c r="H74" s="2"/>
      <c r="I74" s="2"/>
      <c r="J74" s="2"/>
      <c r="K74" s="2"/>
      <c r="L74" s="2"/>
    </row>
    <row r="75" spans="1:12">
      <c r="A75" s="9" t="s">
        <v>88</v>
      </c>
      <c r="B75" s="2" t="s">
        <v>839</v>
      </c>
      <c r="C75" s="2"/>
      <c r="D75" s="2" t="s">
        <v>962</v>
      </c>
      <c r="E75" s="2"/>
      <c r="F75" s="2"/>
      <c r="G75" s="2"/>
      <c r="H75" s="2"/>
      <c r="I75" s="2"/>
      <c r="J75" s="2"/>
      <c r="K75" s="2"/>
      <c r="L75" s="2"/>
    </row>
    <row r="76" spans="1:12">
      <c r="A76" s="9" t="s">
        <v>89</v>
      </c>
      <c r="B76" s="2" t="s">
        <v>840</v>
      </c>
      <c r="C76" s="2"/>
      <c r="D76" s="2" t="s">
        <v>963</v>
      </c>
      <c r="E76" s="2"/>
      <c r="F76" s="2"/>
      <c r="G76" s="2"/>
      <c r="H76" s="2"/>
      <c r="I76" s="2"/>
      <c r="J76" s="2"/>
      <c r="K76" s="2"/>
      <c r="L76" s="2"/>
    </row>
    <row r="77" spans="1:12">
      <c r="A77" s="9" t="s">
        <v>90</v>
      </c>
      <c r="B77" s="2" t="s">
        <v>841</v>
      </c>
      <c r="C77" s="2"/>
      <c r="D77" s="2" t="s">
        <v>964</v>
      </c>
      <c r="E77" s="2"/>
      <c r="F77" s="2"/>
      <c r="G77" s="2"/>
      <c r="H77" s="2"/>
      <c r="I77" s="2"/>
      <c r="J77" s="2"/>
      <c r="K77" s="2"/>
      <c r="L77" s="2"/>
    </row>
    <row r="78" spans="1:12">
      <c r="A78" s="9" t="s">
        <v>91</v>
      </c>
      <c r="B78" s="2" t="s">
        <v>842</v>
      </c>
      <c r="C78" s="2"/>
      <c r="D78" s="2" t="s">
        <v>965</v>
      </c>
      <c r="E78" s="2"/>
      <c r="F78" s="2"/>
      <c r="G78" s="2"/>
      <c r="H78" s="2"/>
      <c r="I78" s="2"/>
      <c r="J78" s="2"/>
      <c r="K78" s="2"/>
      <c r="L78" s="2"/>
    </row>
    <row r="79" spans="1:12">
      <c r="A79" s="9" t="s">
        <v>92</v>
      </c>
      <c r="B79" s="2" t="s">
        <v>843</v>
      </c>
      <c r="C79" s="2"/>
      <c r="D79" s="2" t="s">
        <v>966</v>
      </c>
      <c r="E79" s="2"/>
      <c r="F79" s="2"/>
      <c r="G79" s="2"/>
      <c r="H79" s="2"/>
      <c r="I79" s="2"/>
      <c r="J79" s="2"/>
      <c r="K79" s="2"/>
      <c r="L79" s="2"/>
    </row>
    <row r="80" spans="1:12">
      <c r="A80" s="9" t="s">
        <v>93</v>
      </c>
      <c r="B80" s="2" t="s">
        <v>844</v>
      </c>
      <c r="C80" s="2"/>
      <c r="D80" s="2" t="s">
        <v>967</v>
      </c>
      <c r="E80" s="2"/>
      <c r="F80" s="2"/>
      <c r="G80" s="2"/>
      <c r="H80" s="2"/>
      <c r="I80" s="2"/>
      <c r="J80" s="2"/>
      <c r="K80" s="2"/>
      <c r="L80" s="2"/>
    </row>
    <row r="81" spans="1:12">
      <c r="A81" s="9" t="s">
        <v>94</v>
      </c>
      <c r="B81" s="2" t="s">
        <v>845</v>
      </c>
      <c r="C81" s="2"/>
      <c r="D81" s="2" t="s">
        <v>968</v>
      </c>
      <c r="E81" s="2"/>
      <c r="F81" s="2"/>
      <c r="G81" s="2"/>
      <c r="H81" s="2"/>
      <c r="I81" s="2"/>
      <c r="J81" s="2"/>
      <c r="K81" s="2"/>
      <c r="L81" s="2"/>
    </row>
    <row r="82" spans="1:12">
      <c r="A82" s="9" t="s">
        <v>95</v>
      </c>
      <c r="B82" s="2" t="s">
        <v>846</v>
      </c>
      <c r="C82" s="2"/>
      <c r="D82" s="2" t="s">
        <v>969</v>
      </c>
      <c r="E82" s="2"/>
      <c r="F82" s="2"/>
      <c r="G82" s="2"/>
      <c r="H82" s="2"/>
      <c r="I82" s="2"/>
      <c r="J82" s="2"/>
      <c r="K82" s="2"/>
      <c r="L82" s="2"/>
    </row>
    <row r="83" spans="1:12">
      <c r="A83" s="9" t="s">
        <v>96</v>
      </c>
      <c r="B83" s="2" t="s">
        <v>847</v>
      </c>
      <c r="C83" s="2"/>
      <c r="D83" s="2" t="s">
        <v>970</v>
      </c>
      <c r="E83" s="2"/>
      <c r="F83" s="2"/>
      <c r="G83" s="2"/>
      <c r="H83" s="2"/>
      <c r="I83" s="2"/>
      <c r="J83" s="2"/>
      <c r="K83" s="2"/>
      <c r="L83" s="2"/>
    </row>
    <row r="84" spans="1:12">
      <c r="A84" s="9" t="s">
        <v>97</v>
      </c>
      <c r="B84" s="2" t="s">
        <v>848</v>
      </c>
      <c r="C84" s="2"/>
      <c r="D84" s="2" t="s">
        <v>971</v>
      </c>
      <c r="E84" s="2"/>
      <c r="F84" s="2"/>
      <c r="G84" s="2"/>
      <c r="H84" s="2"/>
      <c r="I84" s="2"/>
      <c r="J84" s="2"/>
      <c r="K84" s="2"/>
      <c r="L84" s="2"/>
    </row>
    <row r="85" spans="1:12">
      <c r="A85" s="9" t="s">
        <v>98</v>
      </c>
      <c r="B85" s="2" t="s">
        <v>849</v>
      </c>
      <c r="C85" s="2"/>
      <c r="D85" s="2" t="s">
        <v>972</v>
      </c>
      <c r="E85" s="2"/>
      <c r="F85" s="2"/>
      <c r="G85" s="2"/>
      <c r="H85" s="2"/>
      <c r="I85" s="2"/>
      <c r="J85" s="2"/>
      <c r="K85" s="2"/>
      <c r="L85" s="2"/>
    </row>
    <row r="86" spans="1:12">
      <c r="A86" s="9" t="s">
        <v>99</v>
      </c>
      <c r="B86" s="2" t="s">
        <v>850</v>
      </c>
      <c r="C86" s="2"/>
      <c r="D86" s="2" t="s">
        <v>973</v>
      </c>
      <c r="E86" s="2"/>
      <c r="F86" s="2"/>
      <c r="G86" s="2"/>
      <c r="H86" s="2"/>
      <c r="I86" s="2"/>
      <c r="J86" s="2"/>
      <c r="K86" s="2"/>
      <c r="L86" s="2"/>
    </row>
    <row r="87" spans="1:12">
      <c r="A87" s="9" t="s">
        <v>100</v>
      </c>
      <c r="B87" s="2" t="s">
        <v>851</v>
      </c>
      <c r="C87" s="2"/>
      <c r="D87" s="2" t="s">
        <v>974</v>
      </c>
      <c r="E87" s="2"/>
      <c r="F87" s="2"/>
      <c r="G87" s="2"/>
      <c r="H87" s="2"/>
      <c r="I87" s="2"/>
      <c r="J87" s="2"/>
      <c r="K87" s="2"/>
      <c r="L87" s="2"/>
    </row>
    <row r="88" spans="1:12">
      <c r="A88" s="9" t="s">
        <v>101</v>
      </c>
      <c r="B88" s="2" t="s">
        <v>852</v>
      </c>
      <c r="C88" s="2"/>
      <c r="D88" s="2" t="s">
        <v>975</v>
      </c>
      <c r="E88" s="2"/>
      <c r="F88" s="2"/>
      <c r="G88" s="2"/>
      <c r="H88" s="2"/>
      <c r="I88" s="2"/>
      <c r="J88" s="2"/>
      <c r="K88" s="2"/>
      <c r="L88" s="2"/>
    </row>
    <row r="89" spans="1:12">
      <c r="A89" s="9" t="s">
        <v>102</v>
      </c>
      <c r="B89" s="2" t="s">
        <v>853</v>
      </c>
      <c r="C89" s="2"/>
      <c r="D89" s="2" t="s">
        <v>976</v>
      </c>
      <c r="E89" s="2"/>
      <c r="F89" s="2"/>
      <c r="G89" s="2"/>
      <c r="H89" s="2"/>
      <c r="I89" s="2"/>
      <c r="J89" s="2"/>
      <c r="K89" s="2"/>
      <c r="L89" s="2"/>
    </row>
    <row r="90" spans="1:12">
      <c r="A90" s="9" t="s">
        <v>103</v>
      </c>
      <c r="B90" s="2" t="s">
        <v>854</v>
      </c>
      <c r="C90" s="2"/>
      <c r="D90" s="2" t="s">
        <v>977</v>
      </c>
      <c r="E90" s="2"/>
      <c r="F90" s="2"/>
      <c r="G90" s="2"/>
      <c r="H90" s="2"/>
      <c r="I90" s="2"/>
      <c r="J90" s="2"/>
      <c r="K90" s="2"/>
      <c r="L90" s="2"/>
    </row>
    <row r="91" spans="1:12">
      <c r="A91" s="9" t="s">
        <v>104</v>
      </c>
      <c r="B91" s="2" t="s">
        <v>855</v>
      </c>
      <c r="C91" s="2"/>
      <c r="D91" s="2" t="s">
        <v>978</v>
      </c>
      <c r="E91" s="2"/>
      <c r="F91" s="2"/>
      <c r="G91" s="2"/>
      <c r="H91" s="2"/>
      <c r="I91" s="2"/>
      <c r="J91" s="2"/>
      <c r="K91" s="2"/>
      <c r="L91" s="2"/>
    </row>
    <row r="92" spans="1:12">
      <c r="A92" s="9" t="s">
        <v>105</v>
      </c>
      <c r="B92" s="2" t="s">
        <v>856</v>
      </c>
      <c r="C92" s="2"/>
      <c r="D92" s="2" t="s">
        <v>979</v>
      </c>
      <c r="E92" s="2"/>
      <c r="F92" s="2"/>
      <c r="G92" s="2"/>
      <c r="H92" s="2"/>
      <c r="I92" s="2"/>
      <c r="J92" s="2"/>
      <c r="K92" s="2"/>
      <c r="L92" s="2"/>
    </row>
    <row r="93" spans="1:12">
      <c r="A93" s="9" t="s">
        <v>106</v>
      </c>
      <c r="B93" s="2" t="s">
        <v>857</v>
      </c>
      <c r="C93" s="2"/>
      <c r="D93" s="2" t="s">
        <v>980</v>
      </c>
      <c r="E93" s="2"/>
      <c r="F93" s="2"/>
      <c r="G93" s="2"/>
      <c r="H93" s="2"/>
      <c r="I93" s="2"/>
      <c r="J93" s="2"/>
      <c r="K93" s="2"/>
      <c r="L93" s="2"/>
    </row>
    <row r="94" spans="1:12">
      <c r="A94" s="9" t="s">
        <v>107</v>
      </c>
      <c r="B94" s="2" t="s">
        <v>858</v>
      </c>
      <c r="C94" s="2"/>
      <c r="D94" s="2" t="s">
        <v>981</v>
      </c>
      <c r="E94" s="2"/>
      <c r="F94" s="2"/>
      <c r="G94" s="2"/>
      <c r="H94" s="2"/>
      <c r="I94" s="2"/>
      <c r="J94" s="2"/>
      <c r="K94" s="2"/>
      <c r="L94" s="2"/>
    </row>
    <row r="95" spans="1:12">
      <c r="A95" s="9" t="s">
        <v>108</v>
      </c>
      <c r="B95" s="2" t="s">
        <v>859</v>
      </c>
      <c r="C95" s="2"/>
      <c r="D95" s="2" t="s">
        <v>982</v>
      </c>
      <c r="E95" s="2"/>
      <c r="F95" s="2"/>
      <c r="G95" s="2"/>
      <c r="H95" s="2"/>
      <c r="I95" s="2"/>
      <c r="J95" s="2"/>
      <c r="K95" s="2"/>
      <c r="L95" s="2"/>
    </row>
    <row r="96" spans="1:12">
      <c r="A96" s="9" t="s">
        <v>109</v>
      </c>
      <c r="B96" s="2" t="s">
        <v>860</v>
      </c>
      <c r="C96" s="2"/>
      <c r="D96" s="2" t="s">
        <v>983</v>
      </c>
      <c r="E96" s="2"/>
      <c r="F96" s="2"/>
      <c r="G96" s="2"/>
      <c r="H96" s="2"/>
      <c r="I96" s="2"/>
      <c r="J96" s="2"/>
      <c r="K96" s="2"/>
      <c r="L96" s="2"/>
    </row>
    <row r="97" spans="1:12">
      <c r="A97" s="9" t="s">
        <v>110</v>
      </c>
      <c r="B97" s="2" t="s">
        <v>861</v>
      </c>
      <c r="C97" s="2"/>
      <c r="D97" s="2" t="s">
        <v>984</v>
      </c>
      <c r="E97" s="2"/>
      <c r="F97" s="2"/>
      <c r="G97" s="2"/>
      <c r="H97" s="2"/>
      <c r="I97" s="2"/>
      <c r="J97" s="2"/>
      <c r="K97" s="2"/>
      <c r="L97" s="2"/>
    </row>
    <row r="98" spans="1:12">
      <c r="A98" s="9" t="s">
        <v>111</v>
      </c>
      <c r="B98" s="2" t="s">
        <v>862</v>
      </c>
      <c r="C98" s="2"/>
      <c r="D98" s="2" t="s">
        <v>985</v>
      </c>
      <c r="E98" s="2"/>
      <c r="F98" s="2"/>
      <c r="G98" s="2"/>
      <c r="H98" s="2"/>
      <c r="I98" s="2"/>
      <c r="J98" s="2"/>
      <c r="K98" s="2"/>
      <c r="L98" s="2"/>
    </row>
    <row r="99" spans="1:12">
      <c r="A99" s="9" t="s">
        <v>112</v>
      </c>
      <c r="B99" s="2" t="s">
        <v>863</v>
      </c>
      <c r="C99" s="2"/>
      <c r="D99" s="2" t="s">
        <v>986</v>
      </c>
      <c r="E99" s="2"/>
      <c r="F99" s="2"/>
      <c r="G99" s="2"/>
      <c r="H99" s="2"/>
      <c r="I99" s="2"/>
      <c r="J99" s="2"/>
      <c r="K99" s="2"/>
      <c r="L99" s="2"/>
    </row>
    <row r="100" spans="1:12">
      <c r="A100" s="9" t="s">
        <v>113</v>
      </c>
      <c r="B100" s="2" t="s">
        <v>864</v>
      </c>
      <c r="C100" s="2"/>
      <c r="D100" s="2" t="s">
        <v>987</v>
      </c>
      <c r="E100" s="2"/>
      <c r="F100" s="2"/>
      <c r="G100" s="2"/>
      <c r="H100" s="2"/>
      <c r="I100" s="2"/>
      <c r="J100" s="2"/>
      <c r="K100" s="2"/>
      <c r="L100" s="2"/>
    </row>
    <row r="101" spans="1:12">
      <c r="A101" s="9" t="s">
        <v>114</v>
      </c>
      <c r="B101" s="2" t="s">
        <v>865</v>
      </c>
      <c r="C101" s="2"/>
      <c r="D101" s="2" t="s">
        <v>988</v>
      </c>
      <c r="E101" s="2"/>
      <c r="F101" s="2"/>
      <c r="G101" s="2"/>
      <c r="H101" s="2"/>
      <c r="I101" s="2"/>
      <c r="J101" s="2"/>
      <c r="K101" s="2"/>
      <c r="L101" s="2"/>
    </row>
    <row r="102" spans="1:12">
      <c r="A102" s="9" t="s">
        <v>115</v>
      </c>
      <c r="B102" s="2" t="s">
        <v>866</v>
      </c>
      <c r="C102" s="2"/>
      <c r="D102" s="2" t="s">
        <v>989</v>
      </c>
      <c r="E102" s="2"/>
      <c r="F102" s="2"/>
      <c r="G102" s="2"/>
      <c r="H102" s="2"/>
      <c r="I102" s="2"/>
      <c r="J102" s="2"/>
      <c r="K102" s="2"/>
      <c r="L102" s="2"/>
    </row>
    <row r="103" spans="1:12">
      <c r="A103" s="9" t="s">
        <v>116</v>
      </c>
      <c r="B103" s="2" t="s">
        <v>867</v>
      </c>
      <c r="C103" s="2"/>
      <c r="D103" s="2" t="s">
        <v>990</v>
      </c>
      <c r="E103" s="2"/>
      <c r="F103" s="2"/>
      <c r="G103" s="2"/>
      <c r="H103" s="2"/>
      <c r="I103" s="2"/>
      <c r="J103" s="2"/>
      <c r="K103" s="2"/>
      <c r="L103" s="2"/>
    </row>
    <row r="104" spans="1:12">
      <c r="A104" s="9" t="s">
        <v>117</v>
      </c>
      <c r="B104" s="2" t="s">
        <v>868</v>
      </c>
      <c r="C104" s="2"/>
      <c r="D104" s="2" t="s">
        <v>991</v>
      </c>
      <c r="E104" s="2"/>
      <c r="F104" s="2"/>
      <c r="G104" s="2"/>
      <c r="H104" s="2"/>
      <c r="I104" s="2"/>
      <c r="J104" s="2"/>
      <c r="K104" s="2"/>
      <c r="L104" s="2"/>
    </row>
    <row r="105" spans="1:12">
      <c r="A105" s="9" t="s">
        <v>118</v>
      </c>
      <c r="B105" s="2" t="s">
        <v>869</v>
      </c>
      <c r="C105" s="2"/>
      <c r="D105" s="2" t="s">
        <v>992</v>
      </c>
      <c r="E105" s="2"/>
      <c r="F105" s="2"/>
      <c r="G105" s="2"/>
      <c r="H105" s="2"/>
      <c r="I105" s="2"/>
      <c r="J105" s="2"/>
      <c r="K105" s="2"/>
      <c r="L105" s="2"/>
    </row>
    <row r="106" spans="1:12">
      <c r="A106" s="9" t="s">
        <v>119</v>
      </c>
      <c r="B106" s="2" t="s">
        <v>870</v>
      </c>
      <c r="C106" s="2"/>
      <c r="D106" s="2" t="s">
        <v>993</v>
      </c>
      <c r="E106" s="2"/>
      <c r="F106" s="2"/>
      <c r="G106" s="2"/>
      <c r="H106" s="2"/>
      <c r="I106" s="2"/>
      <c r="J106" s="2"/>
      <c r="K106" s="2"/>
      <c r="L106" s="2"/>
    </row>
    <row r="107" spans="1:12">
      <c r="A107" s="9" t="s">
        <v>120</v>
      </c>
      <c r="B107" s="2" t="s">
        <v>871</v>
      </c>
      <c r="C107" s="2"/>
      <c r="D107" s="2" t="s">
        <v>994</v>
      </c>
      <c r="E107" s="2"/>
      <c r="F107" s="2"/>
      <c r="G107" s="2"/>
      <c r="H107" s="2"/>
      <c r="I107" s="2"/>
      <c r="J107" s="2"/>
      <c r="K107" s="2"/>
      <c r="L107" s="2"/>
    </row>
    <row r="108" spans="1:12">
      <c r="A108" s="9" t="s">
        <v>121</v>
      </c>
      <c r="B108" s="2" t="s">
        <v>872</v>
      </c>
      <c r="C108" s="2"/>
      <c r="D108" s="2" t="s">
        <v>995</v>
      </c>
      <c r="E108" s="2"/>
      <c r="F108" s="2"/>
      <c r="G108" s="2"/>
      <c r="H108" s="2"/>
      <c r="I108" s="2"/>
      <c r="J108" s="2"/>
      <c r="K108" s="2"/>
      <c r="L108" s="2"/>
    </row>
    <row r="109" spans="1:12">
      <c r="A109" s="9" t="s">
        <v>122</v>
      </c>
      <c r="B109" s="2" t="s">
        <v>873</v>
      </c>
      <c r="C109" s="2"/>
      <c r="D109" s="2" t="s">
        <v>996</v>
      </c>
      <c r="E109" s="2"/>
      <c r="F109" s="2"/>
      <c r="G109" s="2"/>
      <c r="H109" s="2"/>
      <c r="I109" s="2"/>
      <c r="J109" s="2"/>
      <c r="K109" s="2"/>
      <c r="L109" s="2"/>
    </row>
    <row r="110" spans="1:12">
      <c r="A110" s="9" t="s">
        <v>123</v>
      </c>
      <c r="B110" s="2"/>
      <c r="C110" s="2"/>
      <c r="D110" s="2"/>
      <c r="E110" s="2"/>
      <c r="F110" s="2"/>
      <c r="G110" s="2"/>
      <c r="H110" s="2"/>
      <c r="I110" s="2"/>
      <c r="J110" s="2"/>
      <c r="K110" s="2"/>
      <c r="L110" s="2"/>
    </row>
    <row r="111" spans="1:12">
      <c r="A111" s="9" t="s">
        <v>124</v>
      </c>
      <c r="B111" s="2"/>
      <c r="C111" s="2"/>
      <c r="D111" s="2"/>
      <c r="E111" s="2"/>
      <c r="F111" s="2"/>
      <c r="G111" s="2"/>
      <c r="H111" s="2"/>
      <c r="I111" s="2"/>
      <c r="J111" s="2"/>
      <c r="K111" s="2"/>
      <c r="L111" s="2"/>
    </row>
    <row r="112" spans="1:12">
      <c r="A112" s="9" t="s">
        <v>125</v>
      </c>
      <c r="B112" s="2"/>
      <c r="C112" s="2"/>
      <c r="D112" s="2"/>
      <c r="E112" s="2"/>
      <c r="F112" s="2"/>
      <c r="G112" s="2"/>
      <c r="H112" s="2"/>
      <c r="I112" s="2"/>
      <c r="J112" s="2"/>
      <c r="K112" s="2"/>
      <c r="L112" s="2"/>
    </row>
    <row r="113" spans="1:12">
      <c r="A113" s="9" t="s">
        <v>126</v>
      </c>
      <c r="B113" s="2"/>
      <c r="C113" s="2"/>
      <c r="D113" s="2"/>
      <c r="E113" s="2"/>
      <c r="F113" s="2"/>
      <c r="G113" s="2"/>
      <c r="H113" s="2"/>
      <c r="I113" s="2"/>
      <c r="J113" s="2"/>
      <c r="K113" s="2"/>
      <c r="L113" s="2"/>
    </row>
    <row r="114" spans="1:12">
      <c r="A114" s="9" t="s">
        <v>127</v>
      </c>
      <c r="B114" s="2"/>
      <c r="C114" s="2"/>
      <c r="D114" s="2"/>
      <c r="E114" s="2"/>
      <c r="F114" s="2"/>
      <c r="G114" s="2"/>
      <c r="H114" s="2"/>
      <c r="I114" s="2"/>
      <c r="J114" s="2"/>
      <c r="K114" s="2"/>
      <c r="L114" s="2"/>
    </row>
    <row r="115" spans="1:12">
      <c r="A115" s="9" t="s">
        <v>128</v>
      </c>
      <c r="B115" s="2"/>
      <c r="C115" s="2"/>
      <c r="D115" s="2"/>
      <c r="E115" s="2"/>
      <c r="F115" s="2"/>
      <c r="G115" s="2"/>
      <c r="H115" s="2"/>
      <c r="I115" s="2"/>
      <c r="J115" s="2"/>
      <c r="K115" s="2"/>
      <c r="L115" s="2"/>
    </row>
    <row r="116" spans="1:12">
      <c r="A116" s="9" t="s">
        <v>129</v>
      </c>
      <c r="B116" s="2"/>
      <c r="C116" s="2"/>
      <c r="D116" s="2"/>
      <c r="E116" s="2"/>
      <c r="F116" s="2"/>
      <c r="G116" s="2"/>
      <c r="H116" s="2"/>
      <c r="I116" s="2"/>
      <c r="J116" s="2"/>
      <c r="K116" s="2"/>
      <c r="L116" s="2"/>
    </row>
    <row r="117" spans="1:12">
      <c r="A117" s="9" t="s">
        <v>130</v>
      </c>
      <c r="B117" s="2"/>
      <c r="C117" s="2"/>
      <c r="D117" s="2"/>
      <c r="E117" s="2"/>
      <c r="F117" s="2"/>
      <c r="G117" s="2"/>
      <c r="H117" s="2"/>
      <c r="I117" s="2"/>
      <c r="J117" s="2"/>
      <c r="K117" s="2"/>
      <c r="L117" s="2"/>
    </row>
    <row r="118" spans="1:12">
      <c r="A118" s="9" t="s">
        <v>131</v>
      </c>
      <c r="B118" s="2"/>
      <c r="C118" s="2"/>
      <c r="D118" s="2"/>
      <c r="E118" s="2"/>
      <c r="F118" s="2"/>
      <c r="G118" s="2"/>
      <c r="H118" s="2"/>
      <c r="I118" s="2"/>
      <c r="J118" s="2"/>
      <c r="K118" s="2"/>
      <c r="L118" s="2"/>
    </row>
    <row r="119" spans="1:12">
      <c r="A119" s="9" t="s">
        <v>132</v>
      </c>
      <c r="B119" s="2"/>
      <c r="C119" s="2"/>
      <c r="D119" s="2"/>
      <c r="E119" s="2"/>
      <c r="F119" s="2"/>
      <c r="G119" s="2"/>
      <c r="H119" s="2"/>
      <c r="I119" s="2"/>
      <c r="J119" s="2"/>
      <c r="K119" s="2"/>
      <c r="L119" s="2"/>
    </row>
    <row r="120" spans="1:12">
      <c r="A120" s="9" t="s">
        <v>133</v>
      </c>
      <c r="B120" s="2"/>
      <c r="C120" s="2"/>
      <c r="D120" s="2"/>
      <c r="E120" s="2"/>
      <c r="F120" s="2"/>
      <c r="G120" s="2"/>
      <c r="H120" s="2"/>
      <c r="I120" s="2"/>
      <c r="J120" s="2"/>
      <c r="K120" s="2"/>
      <c r="L120" s="2"/>
    </row>
    <row r="121" spans="1:12">
      <c r="A121" s="9" t="s">
        <v>134</v>
      </c>
      <c r="B121" s="2"/>
      <c r="C121" s="2"/>
      <c r="D121" s="2"/>
      <c r="E121" s="2"/>
      <c r="F121" s="2"/>
      <c r="G121" s="2"/>
      <c r="H121" s="2"/>
      <c r="I121" s="2"/>
      <c r="J121" s="2"/>
      <c r="K121" s="2"/>
      <c r="L121" s="2"/>
    </row>
    <row r="122" spans="1:12">
      <c r="A122" s="9" t="s">
        <v>135</v>
      </c>
      <c r="B122" s="2"/>
      <c r="C122" s="2"/>
      <c r="D122" s="2"/>
      <c r="E122" s="2"/>
      <c r="F122" s="2"/>
      <c r="G122" s="2"/>
      <c r="H122" s="2"/>
      <c r="I122" s="2"/>
      <c r="J122" s="2"/>
      <c r="K122" s="2"/>
      <c r="L122"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Feuil10">
    <tabColor theme="9" tint="0.59999389629810485"/>
  </sheetPr>
  <dimension ref="A1:B121"/>
  <sheetViews>
    <sheetView workbookViewId="0">
      <pane ySplit="1" topLeftCell="A2" activePane="bottomLeft" state="frozen"/>
      <selection activeCell="D6" sqref="D6"/>
      <selection pane="bottomLeft" activeCell="B2" sqref="B2:B60"/>
    </sheetView>
  </sheetViews>
  <sheetFormatPr baseColWidth="10" defaultRowHeight="15"/>
  <cols>
    <col min="1" max="1" width="16" customWidth="1"/>
    <col min="2" max="2" width="112.140625" customWidth="1"/>
  </cols>
  <sheetData>
    <row r="1" spans="1:2">
      <c r="A1" s="9" t="s">
        <v>15</v>
      </c>
      <c r="B1" s="8"/>
    </row>
    <row r="2" spans="1:2">
      <c r="A2" s="9" t="s">
        <v>137</v>
      </c>
      <c r="B2" s="7" t="s">
        <v>761</v>
      </c>
    </row>
    <row r="3" spans="1:2">
      <c r="A3" s="9" t="s">
        <v>138</v>
      </c>
      <c r="B3" s="2" t="s">
        <v>712</v>
      </c>
    </row>
    <row r="4" spans="1:2">
      <c r="A4" s="9" t="s">
        <v>139</v>
      </c>
      <c r="B4" s="2" t="s">
        <v>713</v>
      </c>
    </row>
    <row r="5" spans="1:2">
      <c r="A5" s="9" t="s">
        <v>140</v>
      </c>
      <c r="B5" s="2" t="s">
        <v>714</v>
      </c>
    </row>
    <row r="6" spans="1:2">
      <c r="A6" s="9" t="s">
        <v>141</v>
      </c>
      <c r="B6" s="2" t="s">
        <v>715</v>
      </c>
    </row>
    <row r="7" spans="1:2">
      <c r="A7" s="9" t="s">
        <v>142</v>
      </c>
      <c r="B7" s="2" t="s">
        <v>716</v>
      </c>
    </row>
    <row r="8" spans="1:2">
      <c r="A8" s="9" t="s">
        <v>143</v>
      </c>
      <c r="B8" s="2" t="s">
        <v>717</v>
      </c>
    </row>
    <row r="9" spans="1:2">
      <c r="A9" s="9" t="s">
        <v>144</v>
      </c>
      <c r="B9" s="2" t="s">
        <v>718</v>
      </c>
    </row>
    <row r="10" spans="1:2">
      <c r="A10" s="9" t="s">
        <v>145</v>
      </c>
      <c r="B10" s="2" t="s">
        <v>719</v>
      </c>
    </row>
    <row r="11" spans="1:2">
      <c r="A11" s="9" t="s">
        <v>146</v>
      </c>
      <c r="B11" s="2" t="s">
        <v>720</v>
      </c>
    </row>
    <row r="12" spans="1:2">
      <c r="A12" s="9" t="s">
        <v>147</v>
      </c>
      <c r="B12" s="7" t="s">
        <v>721</v>
      </c>
    </row>
    <row r="13" spans="1:2">
      <c r="A13" s="9" t="s">
        <v>148</v>
      </c>
      <c r="B13" s="2"/>
    </row>
    <row r="14" spans="1:2">
      <c r="A14" s="9" t="s">
        <v>149</v>
      </c>
      <c r="B14" s="2" t="s">
        <v>762</v>
      </c>
    </row>
    <row r="15" spans="1:2">
      <c r="A15" s="9" t="s">
        <v>150</v>
      </c>
      <c r="B15" s="2" t="s">
        <v>722</v>
      </c>
    </row>
    <row r="16" spans="1:2">
      <c r="A16" s="9" t="s">
        <v>151</v>
      </c>
      <c r="B16" s="7" t="s">
        <v>723</v>
      </c>
    </row>
    <row r="17" spans="1:2">
      <c r="A17" s="9" t="s">
        <v>152</v>
      </c>
      <c r="B17" s="2" t="s">
        <v>724</v>
      </c>
    </row>
    <row r="18" spans="1:2">
      <c r="A18" s="9" t="s">
        <v>153</v>
      </c>
      <c r="B18" s="2" t="s">
        <v>725</v>
      </c>
    </row>
    <row r="19" spans="1:2">
      <c r="A19" s="9" t="s">
        <v>154</v>
      </c>
      <c r="B19" s="2" t="s">
        <v>726</v>
      </c>
    </row>
    <row r="20" spans="1:2">
      <c r="A20" s="9" t="s">
        <v>155</v>
      </c>
      <c r="B20" s="2" t="s">
        <v>727</v>
      </c>
    </row>
    <row r="21" spans="1:2">
      <c r="A21" s="9" t="s">
        <v>156</v>
      </c>
      <c r="B21" s="2" t="s">
        <v>728</v>
      </c>
    </row>
    <row r="22" spans="1:2">
      <c r="A22" s="9" t="s">
        <v>157</v>
      </c>
      <c r="B22" s="2" t="s">
        <v>729</v>
      </c>
    </row>
    <row r="23" spans="1:2">
      <c r="A23" s="9" t="s">
        <v>158</v>
      </c>
      <c r="B23" s="2" t="s">
        <v>758</v>
      </c>
    </row>
    <row r="24" spans="1:2">
      <c r="A24" s="9" t="s">
        <v>159</v>
      </c>
      <c r="B24" s="2" t="s">
        <v>730</v>
      </c>
    </row>
    <row r="25" spans="1:2">
      <c r="A25" s="9" t="s">
        <v>160</v>
      </c>
      <c r="B25" s="2"/>
    </row>
    <row r="26" spans="1:2">
      <c r="A26" s="9" t="s">
        <v>161</v>
      </c>
      <c r="B26" s="2" t="s">
        <v>763</v>
      </c>
    </row>
    <row r="27" spans="1:2">
      <c r="A27" s="9" t="s">
        <v>162</v>
      </c>
      <c r="B27" s="2" t="s">
        <v>731</v>
      </c>
    </row>
    <row r="28" spans="1:2">
      <c r="A28" s="9" t="s">
        <v>163</v>
      </c>
      <c r="B28" s="2" t="s">
        <v>732</v>
      </c>
    </row>
    <row r="29" spans="1:2">
      <c r="A29" s="9" t="s">
        <v>164</v>
      </c>
      <c r="B29" s="7" t="s">
        <v>733</v>
      </c>
    </row>
    <row r="30" spans="1:2">
      <c r="A30" s="9" t="s">
        <v>165</v>
      </c>
      <c r="B30" s="2" t="s">
        <v>734</v>
      </c>
    </row>
    <row r="31" spans="1:2">
      <c r="A31" s="9" t="s">
        <v>166</v>
      </c>
      <c r="B31" s="2"/>
    </row>
    <row r="32" spans="1:2">
      <c r="A32" s="9" t="s">
        <v>167</v>
      </c>
      <c r="B32" s="2" t="s">
        <v>764</v>
      </c>
    </row>
    <row r="33" spans="1:2">
      <c r="A33" s="9" t="s">
        <v>168</v>
      </c>
      <c r="B33" s="2" t="s">
        <v>735</v>
      </c>
    </row>
    <row r="34" spans="1:2">
      <c r="A34" s="9" t="s">
        <v>169</v>
      </c>
      <c r="B34" s="2" t="s">
        <v>736</v>
      </c>
    </row>
    <row r="35" spans="1:2">
      <c r="A35" s="9" t="s">
        <v>170</v>
      </c>
      <c r="B35" s="2" t="s">
        <v>737</v>
      </c>
    </row>
    <row r="36" spans="1:2">
      <c r="A36" s="9" t="s">
        <v>171</v>
      </c>
      <c r="B36" s="2" t="s">
        <v>738</v>
      </c>
    </row>
    <row r="37" spans="1:2">
      <c r="A37" s="9" t="s">
        <v>172</v>
      </c>
      <c r="B37" s="2" t="s">
        <v>759</v>
      </c>
    </row>
    <row r="38" spans="1:2">
      <c r="A38" s="9" t="s">
        <v>173</v>
      </c>
      <c r="B38" s="2" t="s">
        <v>739</v>
      </c>
    </row>
    <row r="39" spans="1:2">
      <c r="A39" s="9" t="s">
        <v>174</v>
      </c>
      <c r="B39" s="2" t="s">
        <v>740</v>
      </c>
    </row>
    <row r="40" spans="1:2">
      <c r="A40" s="9" t="s">
        <v>175</v>
      </c>
      <c r="B40" s="2" t="s">
        <v>741</v>
      </c>
    </row>
    <row r="41" spans="1:2">
      <c r="A41" s="9" t="s">
        <v>176</v>
      </c>
      <c r="B41" s="2" t="s">
        <v>742</v>
      </c>
    </row>
    <row r="42" spans="1:2">
      <c r="A42" s="9" t="s">
        <v>177</v>
      </c>
      <c r="B42" s="2"/>
    </row>
    <row r="43" spans="1:2">
      <c r="A43" s="9" t="s">
        <v>178</v>
      </c>
      <c r="B43" s="2" t="s">
        <v>765</v>
      </c>
    </row>
    <row r="44" spans="1:2">
      <c r="A44" s="9" t="s">
        <v>179</v>
      </c>
      <c r="B44" s="2" t="s">
        <v>743</v>
      </c>
    </row>
    <row r="45" spans="1:2">
      <c r="A45" s="9" t="s">
        <v>180</v>
      </c>
      <c r="B45" s="2" t="s">
        <v>744</v>
      </c>
    </row>
    <row r="46" spans="1:2">
      <c r="A46" s="9" t="s">
        <v>181</v>
      </c>
      <c r="B46" s="2" t="s">
        <v>745</v>
      </c>
    </row>
    <row r="47" spans="1:2">
      <c r="A47" s="9" t="s">
        <v>182</v>
      </c>
      <c r="B47" s="2" t="s">
        <v>746</v>
      </c>
    </row>
    <row r="48" spans="1:2">
      <c r="A48" s="9" t="s">
        <v>183</v>
      </c>
      <c r="B48" s="2" t="s">
        <v>747</v>
      </c>
    </row>
    <row r="49" spans="1:2">
      <c r="A49" s="9" t="s">
        <v>184</v>
      </c>
      <c r="B49" s="2" t="s">
        <v>748</v>
      </c>
    </row>
    <row r="50" spans="1:2">
      <c r="A50" s="9" t="s">
        <v>185</v>
      </c>
      <c r="B50" s="2" t="s">
        <v>749</v>
      </c>
    </row>
    <row r="51" spans="1:2">
      <c r="A51" s="9" t="s">
        <v>186</v>
      </c>
      <c r="B51" s="2" t="s">
        <v>750</v>
      </c>
    </row>
    <row r="52" spans="1:2">
      <c r="A52" s="9" t="s">
        <v>187</v>
      </c>
      <c r="B52" s="2"/>
    </row>
    <row r="53" spans="1:2">
      <c r="A53" s="9" t="s">
        <v>188</v>
      </c>
      <c r="B53" s="2" t="s">
        <v>766</v>
      </c>
    </row>
    <row r="54" spans="1:2">
      <c r="A54" s="9" t="s">
        <v>189</v>
      </c>
      <c r="B54" s="2" t="s">
        <v>751</v>
      </c>
    </row>
    <row r="55" spans="1:2">
      <c r="A55" s="9" t="s">
        <v>190</v>
      </c>
      <c r="B55" s="2" t="s">
        <v>752</v>
      </c>
    </row>
    <row r="56" spans="1:2">
      <c r="A56" s="9" t="s">
        <v>191</v>
      </c>
      <c r="B56" s="2" t="s">
        <v>753</v>
      </c>
    </row>
    <row r="57" spans="1:2">
      <c r="A57" s="9" t="s">
        <v>192</v>
      </c>
      <c r="B57" s="2" t="s">
        <v>754</v>
      </c>
    </row>
    <row r="58" spans="1:2">
      <c r="A58" s="9" t="s">
        <v>193</v>
      </c>
      <c r="B58" s="2" t="s">
        <v>755</v>
      </c>
    </row>
    <row r="59" spans="1:2">
      <c r="A59" s="9" t="s">
        <v>194</v>
      </c>
      <c r="B59" s="2" t="s">
        <v>756</v>
      </c>
    </row>
    <row r="60" spans="1:2">
      <c r="A60" s="9" t="s">
        <v>195</v>
      </c>
      <c r="B60" s="2" t="s">
        <v>757</v>
      </c>
    </row>
    <row r="61" spans="1:2">
      <c r="A61" s="9" t="s">
        <v>196</v>
      </c>
      <c r="B61" s="2"/>
    </row>
    <row r="62" spans="1:2">
      <c r="A62" s="9" t="s">
        <v>197</v>
      </c>
      <c r="B62" s="2"/>
    </row>
    <row r="63" spans="1:2">
      <c r="A63" s="9" t="s">
        <v>198</v>
      </c>
      <c r="B63" s="2"/>
    </row>
    <row r="64" spans="1:2">
      <c r="A64" s="9" t="s">
        <v>199</v>
      </c>
      <c r="B64" s="2"/>
    </row>
    <row r="65" spans="1:2">
      <c r="A65" s="9" t="s">
        <v>200</v>
      </c>
      <c r="B65" s="2"/>
    </row>
    <row r="66" spans="1:2">
      <c r="A66" s="9" t="s">
        <v>201</v>
      </c>
      <c r="B66" s="2"/>
    </row>
    <row r="67" spans="1:2">
      <c r="A67" s="9" t="s">
        <v>202</v>
      </c>
      <c r="B67" s="2"/>
    </row>
    <row r="68" spans="1:2">
      <c r="A68" s="9" t="s">
        <v>203</v>
      </c>
      <c r="B68" s="2"/>
    </row>
    <row r="69" spans="1:2">
      <c r="A69" s="9" t="s">
        <v>204</v>
      </c>
      <c r="B69" s="2"/>
    </row>
    <row r="70" spans="1:2">
      <c r="A70" s="9" t="s">
        <v>205</v>
      </c>
      <c r="B70" s="2"/>
    </row>
    <row r="71" spans="1:2">
      <c r="A71" s="9" t="s">
        <v>206</v>
      </c>
      <c r="B71" s="2"/>
    </row>
    <row r="72" spans="1:2">
      <c r="A72" s="9" t="s">
        <v>207</v>
      </c>
      <c r="B72" s="2"/>
    </row>
    <row r="73" spans="1:2">
      <c r="A73" s="9" t="s">
        <v>208</v>
      </c>
      <c r="B73" s="2"/>
    </row>
    <row r="74" spans="1:2">
      <c r="A74" s="9" t="s">
        <v>209</v>
      </c>
      <c r="B74" s="2"/>
    </row>
    <row r="75" spans="1:2">
      <c r="A75" s="9" t="s">
        <v>210</v>
      </c>
      <c r="B75" s="2"/>
    </row>
    <row r="76" spans="1:2">
      <c r="A76" s="9" t="s">
        <v>211</v>
      </c>
      <c r="B76" s="2"/>
    </row>
    <row r="77" spans="1:2">
      <c r="A77" s="9" t="s">
        <v>212</v>
      </c>
      <c r="B77" s="2"/>
    </row>
    <row r="78" spans="1:2">
      <c r="A78" s="9" t="s">
        <v>213</v>
      </c>
      <c r="B78" s="2"/>
    </row>
    <row r="79" spans="1:2">
      <c r="A79" s="9" t="s">
        <v>214</v>
      </c>
      <c r="B79" s="2"/>
    </row>
    <row r="80" spans="1:2">
      <c r="A80" s="9" t="s">
        <v>215</v>
      </c>
      <c r="B80" s="2"/>
    </row>
    <row r="81" spans="1:2">
      <c r="A81" s="9" t="s">
        <v>216</v>
      </c>
      <c r="B81" s="2"/>
    </row>
    <row r="82" spans="1:2">
      <c r="A82" s="9" t="s">
        <v>217</v>
      </c>
      <c r="B82" s="2"/>
    </row>
    <row r="83" spans="1:2">
      <c r="A83" s="9" t="s">
        <v>218</v>
      </c>
      <c r="B83" s="2"/>
    </row>
    <row r="84" spans="1:2">
      <c r="A84" s="9" t="s">
        <v>219</v>
      </c>
      <c r="B84" s="2"/>
    </row>
    <row r="85" spans="1:2">
      <c r="A85" s="9" t="s">
        <v>220</v>
      </c>
      <c r="B85" s="2"/>
    </row>
    <row r="86" spans="1:2">
      <c r="A86" s="9" t="s">
        <v>221</v>
      </c>
      <c r="B86" s="2"/>
    </row>
    <row r="87" spans="1:2">
      <c r="A87" s="9" t="s">
        <v>222</v>
      </c>
      <c r="B87" s="2"/>
    </row>
    <row r="88" spans="1:2">
      <c r="A88" s="9" t="s">
        <v>223</v>
      </c>
      <c r="B88" s="2"/>
    </row>
    <row r="89" spans="1:2">
      <c r="A89" s="9" t="s">
        <v>224</v>
      </c>
      <c r="B89" s="2"/>
    </row>
    <row r="90" spans="1:2">
      <c r="A90" s="9" t="s">
        <v>225</v>
      </c>
      <c r="B90" s="2"/>
    </row>
    <row r="91" spans="1:2">
      <c r="A91" s="9" t="s">
        <v>226</v>
      </c>
      <c r="B91" s="2"/>
    </row>
    <row r="92" spans="1:2">
      <c r="A92" s="9" t="s">
        <v>227</v>
      </c>
      <c r="B92" s="2"/>
    </row>
    <row r="93" spans="1:2">
      <c r="A93" s="9" t="s">
        <v>228</v>
      </c>
      <c r="B93" s="2"/>
    </row>
    <row r="94" spans="1:2">
      <c r="A94" s="9" t="s">
        <v>229</v>
      </c>
      <c r="B94" s="2"/>
    </row>
    <row r="95" spans="1:2">
      <c r="A95" s="9" t="s">
        <v>230</v>
      </c>
      <c r="B95" s="2"/>
    </row>
    <row r="96" spans="1:2">
      <c r="A96" s="9" t="s">
        <v>231</v>
      </c>
      <c r="B96" s="2"/>
    </row>
    <row r="97" spans="1:2">
      <c r="A97" s="9" t="s">
        <v>232</v>
      </c>
      <c r="B97" s="2"/>
    </row>
    <row r="98" spans="1:2">
      <c r="A98" s="9" t="s">
        <v>233</v>
      </c>
      <c r="B98" s="2"/>
    </row>
    <row r="99" spans="1:2">
      <c r="A99" s="9" t="s">
        <v>234</v>
      </c>
      <c r="B99" s="2"/>
    </row>
    <row r="100" spans="1:2">
      <c r="A100" s="9" t="s">
        <v>235</v>
      </c>
      <c r="B100" s="2"/>
    </row>
    <row r="101" spans="1:2">
      <c r="A101" s="9" t="s">
        <v>236</v>
      </c>
      <c r="B101" s="2"/>
    </row>
    <row r="102" spans="1:2">
      <c r="A102" s="9" t="s">
        <v>237</v>
      </c>
      <c r="B102" s="2"/>
    </row>
    <row r="103" spans="1:2">
      <c r="A103" s="9" t="s">
        <v>238</v>
      </c>
      <c r="B103" s="2"/>
    </row>
    <row r="104" spans="1:2">
      <c r="A104" s="9" t="s">
        <v>239</v>
      </c>
      <c r="B104" s="2"/>
    </row>
    <row r="105" spans="1:2">
      <c r="A105" s="9" t="s">
        <v>240</v>
      </c>
      <c r="B105" s="2"/>
    </row>
    <row r="106" spans="1:2">
      <c r="A106" s="9" t="s">
        <v>241</v>
      </c>
      <c r="B106" s="2"/>
    </row>
    <row r="107" spans="1:2">
      <c r="A107" s="9" t="s">
        <v>242</v>
      </c>
      <c r="B107" s="2"/>
    </row>
    <row r="108" spans="1:2">
      <c r="A108" s="9" t="s">
        <v>243</v>
      </c>
      <c r="B108" s="2"/>
    </row>
    <row r="109" spans="1:2">
      <c r="A109" s="9" t="s">
        <v>244</v>
      </c>
      <c r="B109" s="2"/>
    </row>
    <row r="110" spans="1:2">
      <c r="A110" s="9" t="s">
        <v>245</v>
      </c>
      <c r="B110" s="2"/>
    </row>
    <row r="111" spans="1:2">
      <c r="A111" s="9" t="s">
        <v>246</v>
      </c>
      <c r="B111" s="2"/>
    </row>
    <row r="112" spans="1:2">
      <c r="A112" s="9" t="s">
        <v>247</v>
      </c>
      <c r="B112" s="2"/>
    </row>
    <row r="113" spans="1:2">
      <c r="A113" s="9" t="s">
        <v>248</v>
      </c>
      <c r="B113" s="2"/>
    </row>
    <row r="114" spans="1:2">
      <c r="A114" s="9" t="s">
        <v>249</v>
      </c>
      <c r="B114" s="2"/>
    </row>
    <row r="115" spans="1:2">
      <c r="A115" s="9" t="s">
        <v>250</v>
      </c>
      <c r="B115" s="2"/>
    </row>
    <row r="116" spans="1:2">
      <c r="A116" s="9" t="s">
        <v>251</v>
      </c>
      <c r="B116" s="2"/>
    </row>
    <row r="117" spans="1:2">
      <c r="A117" s="9" t="s">
        <v>252</v>
      </c>
      <c r="B117" s="2"/>
    </row>
    <row r="118" spans="1:2">
      <c r="A118" s="9" t="s">
        <v>253</v>
      </c>
      <c r="B118" s="2"/>
    </row>
    <row r="119" spans="1:2">
      <c r="A119" s="9" t="s">
        <v>254</v>
      </c>
      <c r="B119" s="2"/>
    </row>
    <row r="120" spans="1:2">
      <c r="A120" s="9" t="s">
        <v>255</v>
      </c>
      <c r="B120" s="2"/>
    </row>
    <row r="121" spans="1:2">
      <c r="A121" s="9" t="s">
        <v>256</v>
      </c>
      <c r="B121" s="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Feuil3"/>
  <dimension ref="A1:D11"/>
  <sheetViews>
    <sheetView workbookViewId="0">
      <selection activeCell="D9" sqref="D9"/>
    </sheetView>
  </sheetViews>
  <sheetFormatPr baseColWidth="10" defaultRowHeight="15"/>
  <cols>
    <col min="1" max="2" width="15" customWidth="1"/>
    <col min="4" max="4" width="59.28515625" customWidth="1"/>
  </cols>
  <sheetData>
    <row r="1" spans="1:4">
      <c r="A1" t="s">
        <v>2</v>
      </c>
      <c r="B1" t="s">
        <v>276</v>
      </c>
      <c r="C1" t="s">
        <v>265</v>
      </c>
      <c r="D1" t="s">
        <v>277</v>
      </c>
    </row>
    <row r="2" spans="1:4">
      <c r="A2" s="10" t="s">
        <v>263</v>
      </c>
      <c r="B2" s="10"/>
      <c r="D2" s="17" t="s">
        <v>278</v>
      </c>
    </row>
    <row r="3" spans="1:4">
      <c r="A3" s="10" t="s">
        <v>262</v>
      </c>
      <c r="B3" s="10"/>
    </row>
    <row r="4" spans="1:4">
      <c r="A4" s="10" t="s">
        <v>264</v>
      </c>
      <c r="B4" s="10"/>
      <c r="C4" t="s">
        <v>267</v>
      </c>
    </row>
    <row r="5" spans="1:4">
      <c r="A5" s="10" t="s">
        <v>275</v>
      </c>
      <c r="B5" s="10"/>
      <c r="C5" s="10"/>
      <c r="D5" s="10" t="s">
        <v>282</v>
      </c>
    </row>
    <row r="6" spans="1:4">
      <c r="A6" s="10" t="s">
        <v>273</v>
      </c>
      <c r="B6" s="10"/>
      <c r="C6" s="10"/>
      <c r="D6" s="18" t="s">
        <v>283</v>
      </c>
    </row>
    <row r="7" spans="1:4">
      <c r="A7" s="10" t="s">
        <v>274</v>
      </c>
      <c r="B7" s="10"/>
      <c r="C7" s="10"/>
      <c r="D7" t="s">
        <v>281</v>
      </c>
    </row>
    <row r="8" spans="1:4">
      <c r="A8" s="10" t="s">
        <v>261</v>
      </c>
      <c r="B8" s="10"/>
      <c r="D8" t="s">
        <v>280</v>
      </c>
    </row>
    <row r="9" spans="1:4">
      <c r="A9" s="10" t="s">
        <v>259</v>
      </c>
      <c r="B9" s="10"/>
    </row>
    <row r="10" spans="1:4">
      <c r="A10" s="10" t="s">
        <v>260</v>
      </c>
      <c r="B10" s="10"/>
      <c r="D10" t="s">
        <v>279</v>
      </c>
    </row>
    <row r="11" spans="1:4">
      <c r="A11" t="s">
        <v>258</v>
      </c>
      <c r="C11" t="s">
        <v>266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16</vt:i4>
      </vt:variant>
    </vt:vector>
  </HeadingPairs>
  <TitlesOfParts>
    <vt:vector size="29" baseType="lpstr">
      <vt:lpstr>Summary</vt:lpstr>
      <vt:lpstr>Template</vt:lpstr>
      <vt:lpstr>Phobida_MenuItem</vt:lpstr>
      <vt:lpstr>Phobida_MenuCate</vt:lpstr>
      <vt:lpstr>Phobida_MenuCateItem</vt:lpstr>
      <vt:lpstr>Phobida_Photo</vt:lpstr>
      <vt:lpstr>Phobida_UserAccount</vt:lpstr>
      <vt:lpstr>Phobida_MenuRating</vt:lpstr>
      <vt:lpstr>SQL Definition</vt:lpstr>
      <vt:lpstr>SQL Tables Name</vt:lpstr>
      <vt:lpstr>SQL Queries</vt:lpstr>
      <vt:lpstr>SQL Create</vt:lpstr>
      <vt:lpstr>Data</vt:lpstr>
      <vt:lpstr>List_Cate</vt:lpstr>
      <vt:lpstr>List_Item</vt:lpstr>
      <vt:lpstr>Phobida_MenuCate!List_SqlFieldTypes</vt:lpstr>
      <vt:lpstr>Phobida_MenuCateItem!List_SqlFieldTypes</vt:lpstr>
      <vt:lpstr>Phobida_MenuItem!List_SqlFieldTypes</vt:lpstr>
      <vt:lpstr>Phobida_MenuRating!List_SqlFieldTypes</vt:lpstr>
      <vt:lpstr>Phobida_Photo!List_SqlFieldTypes</vt:lpstr>
      <vt:lpstr>Phobida_UserAccount!List_SqlFieldTypes</vt:lpstr>
      <vt:lpstr>List_SqlFieldTypes</vt:lpstr>
      <vt:lpstr>Phobida_MenuCate!List_SqlTables</vt:lpstr>
      <vt:lpstr>Phobida_MenuCateItem!List_SqlTables</vt:lpstr>
      <vt:lpstr>Phobida_MenuItem!List_SqlTables</vt:lpstr>
      <vt:lpstr>Phobida_MenuRating!List_SqlTables</vt:lpstr>
      <vt:lpstr>Phobida_Photo!List_SqlTables</vt:lpstr>
      <vt:lpstr>Phobida_UserAccount!List_SqlTables</vt:lpstr>
      <vt:lpstr>List_SqlTables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2006-09-12T15:06:44Z</dcterms:created>
  <dcterms:modified xsi:type="dcterms:W3CDTF">2013-12-25T18:12:40Z</dcterms:modified>
</cp:coreProperties>
</file>